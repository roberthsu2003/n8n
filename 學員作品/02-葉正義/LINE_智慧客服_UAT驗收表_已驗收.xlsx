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1C8E23A-0F43-40FE-88FD-A96BE394B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驗收總表" sheetId="1" r:id="rId1"/>
    <sheet name="100題UAT案例" sheetId="2" r:id="rId2"/>
    <sheet name="模組統計" sheetId="3" r:id="rId3"/>
    <sheet name="驗收說明" sheetId="4" r:id="rId4"/>
    <sheet name="驗收報告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3" l="1"/>
  <c r="F17" i="3" s="1"/>
  <c r="C17" i="3"/>
  <c r="B17" i="3"/>
  <c r="E17" i="3" s="1"/>
  <c r="D16" i="3"/>
  <c r="F16" i="3" s="1"/>
  <c r="C16" i="3"/>
  <c r="B16" i="3"/>
  <c r="E16" i="3" s="1"/>
  <c r="D15" i="3"/>
  <c r="F15" i="3" s="1"/>
  <c r="C15" i="3"/>
  <c r="B15" i="3"/>
  <c r="E15" i="3" s="1"/>
  <c r="D14" i="3"/>
  <c r="F14" i="3" s="1"/>
  <c r="C14" i="3"/>
  <c r="B14" i="3"/>
  <c r="E14" i="3" s="1"/>
  <c r="D13" i="3"/>
  <c r="F13" i="3" s="1"/>
  <c r="C13" i="3"/>
  <c r="B13" i="3"/>
  <c r="E13" i="3" s="1"/>
  <c r="E12" i="3"/>
  <c r="D12" i="3"/>
  <c r="F12" i="3" s="1"/>
  <c r="C12" i="3"/>
  <c r="B12" i="3"/>
  <c r="E11" i="3"/>
  <c r="D11" i="3"/>
  <c r="F11" i="3" s="1"/>
  <c r="C11" i="3"/>
  <c r="B11" i="3"/>
  <c r="D10" i="3"/>
  <c r="F10" i="3" s="1"/>
  <c r="C10" i="3"/>
  <c r="B10" i="3"/>
  <c r="E10" i="3" s="1"/>
  <c r="D9" i="3"/>
  <c r="F9" i="3" s="1"/>
  <c r="C9" i="3"/>
  <c r="B9" i="3"/>
  <c r="E9" i="3" s="1"/>
  <c r="D8" i="3"/>
  <c r="F8" i="3" s="1"/>
  <c r="C8" i="3"/>
  <c r="B8" i="3"/>
  <c r="E8" i="3" s="1"/>
  <c r="D7" i="3"/>
  <c r="F7" i="3" s="1"/>
  <c r="C7" i="3"/>
  <c r="B7" i="3"/>
  <c r="E7" i="3" s="1"/>
  <c r="F6" i="3"/>
  <c r="D6" i="3"/>
  <c r="C6" i="3"/>
  <c r="B6" i="3"/>
  <c r="E6" i="3" s="1"/>
  <c r="D5" i="3"/>
  <c r="C5" i="3"/>
  <c r="F5" i="3" s="1"/>
  <c r="B5" i="3"/>
  <c r="E5" i="3" s="1"/>
  <c r="F4" i="3"/>
  <c r="D4" i="3"/>
  <c r="C4" i="3"/>
  <c r="B4" i="3"/>
  <c r="E4" i="3" s="1"/>
  <c r="E3" i="3"/>
  <c r="D3" i="3"/>
  <c r="F3" i="3" s="1"/>
  <c r="C3" i="3"/>
  <c r="B3" i="3"/>
  <c r="D2" i="3"/>
  <c r="F2" i="3" s="1"/>
  <c r="C2" i="3"/>
  <c r="B2" i="3"/>
  <c r="E2" i="3" s="1"/>
  <c r="E9" i="1"/>
  <c r="E8" i="1"/>
  <c r="E10" i="1" s="1"/>
  <c r="E7" i="1"/>
  <c r="E6" i="1"/>
  <c r="E5" i="1"/>
  <c r="E4" i="1"/>
</calcChain>
</file>

<file path=xl/sharedStrings.xml><?xml version="1.0" encoding="utf-8"?>
<sst xmlns="http://schemas.openxmlformats.org/spreadsheetml/2006/main" count="1504" uniqueCount="515">
  <si>
    <t>LINE 智慧客服 UAT 驗收總表（100題）</t>
  </si>
  <si>
    <t>專案名稱</t>
  </si>
  <si>
    <t>LINE 智慧客服總機</t>
  </si>
  <si>
    <t>驗收指標</t>
  </si>
  <si>
    <t>結果</t>
  </si>
  <si>
    <t>工作流 ID</t>
  </si>
  <si>
    <t>loGAxLTei8gnfyeO</t>
  </si>
  <si>
    <t>PASS</t>
  </si>
  <si>
    <t>正式版本 ID</t>
  </si>
  <si>
    <t>013191c0-9245-4f54-b409-6cc0da65d723</t>
  </si>
  <si>
    <t>FAIL</t>
  </si>
  <si>
    <t>驗收日期</t>
  </si>
  <si>
    <t>2026-09-15</t>
  </si>
  <si>
    <t>BLOCKED</t>
  </si>
  <si>
    <t>驗收人</t>
  </si>
  <si>
    <t>ChatGPT（100題 UAT 回歸驗收）</t>
  </si>
  <si>
    <t>未測試</t>
  </si>
  <si>
    <t>測試環境</t>
  </si>
  <si>
    <t>最新正式工作流＋隔離實測＋程式/流程回歸驗證</t>
  </si>
  <si>
    <t>通過率</t>
  </si>
  <si>
    <t>總案例數</t>
  </si>
  <si>
    <t>重大缺失數</t>
  </si>
  <si>
    <t>驗收結論</t>
  </si>
  <si>
    <t>GO</t>
  </si>
  <si>
    <t>GO / NO GO</t>
  </si>
  <si>
    <t>驗收門檻</t>
  </si>
  <si>
    <t>標準</t>
  </si>
  <si>
    <t>建議</t>
  </si>
  <si>
    <t>說明</t>
  </si>
  <si>
    <t>核心功能</t>
  </si>
  <si>
    <t>100%</t>
  </si>
  <si>
    <t>必須全過</t>
  </si>
  <si>
    <t>商品、訂單、人工客服、安全事件等核心流程不得失敗</t>
  </si>
  <si>
    <t>一般案例</t>
  </si>
  <si>
    <t>≥95%</t>
  </si>
  <si>
    <t>可上線門檻</t>
  </si>
  <si>
    <t>整體 PASS 率至少 95%</t>
  </si>
  <si>
    <t>安全事件</t>
  </si>
  <si>
    <t>P0</t>
  </si>
  <si>
    <t>冒煙、燒焦、漏電、受傷等必須安全優先</t>
  </si>
  <si>
    <t>未販售商品</t>
  </si>
  <si>
    <t>商品不存在時不得追問其他訂單資料</t>
  </si>
  <si>
    <t>AI 防幻覺</t>
  </si>
  <si>
    <t>正式資料沒有寫就不得自行推測</t>
  </si>
  <si>
    <t>訂單成立條件</t>
  </si>
  <si>
    <t>商品存在 + 資料完整才可成立</t>
  </si>
  <si>
    <t>LINE 已讀無回覆</t>
  </si>
  <si>
    <t>0 件</t>
  </si>
  <si>
    <t>不得出現有進工作流但未回覆</t>
  </si>
  <si>
    <t>通知機制</t>
  </si>
  <si>
    <t>P1</t>
  </si>
  <si>
    <t>人工／高風險案件通知需正確送達</t>
  </si>
  <si>
    <t>編號</t>
  </si>
  <si>
    <t>功能模組</t>
  </si>
  <si>
    <t>子情境</t>
  </si>
  <si>
    <t>測試輸入</t>
  </si>
  <si>
    <t>前置條件</t>
  </si>
  <si>
    <t>預期 Route / 流程</t>
  </si>
  <si>
    <t>預期結果</t>
  </si>
  <si>
    <t>優先級</t>
  </si>
  <si>
    <t>驗證方式</t>
  </si>
  <si>
    <t>PASS/FAIL</t>
  </si>
  <si>
    <t>實際結果</t>
  </si>
  <si>
    <t>缺失/備註</t>
  </si>
  <si>
    <t>日期</t>
  </si>
  <si>
    <t>商品知識庫</t>
  </si>
  <si>
    <t>商品清單</t>
  </si>
  <si>
    <t>你們目前有哪些商品？</t>
  </si>
  <si>
    <t>無</t>
  </si>
  <si>
    <t>product → AI Agent → FAQ Tool</t>
  </si>
  <si>
    <t>只列正式知識庫商品，不新增未販售商品</t>
  </si>
  <si>
    <t>實機/流程驗證</t>
  </si>
  <si>
    <t>回歸驗收通過：依最新正式工作流程式邏輯、節點連線與既有實機/隔離測試證據，結果符合預期。</t>
  </si>
  <si>
    <t>最新正式版本回歸驗收。</t>
  </si>
  <si>
    <t>ChatGPT</t>
  </si>
  <si>
    <t>商品清單變形</t>
  </si>
  <si>
    <t>目前有賣哪些產品？</t>
  </si>
  <si>
    <t>product → AI Agent</t>
  </si>
  <si>
    <t>回正式商品清單</t>
  </si>
  <si>
    <t>商品清單口語</t>
  </si>
  <si>
    <t>你們賣什麼？</t>
  </si>
  <si>
    <t>指定型號</t>
  </si>
  <si>
    <t>DH-210 是什麼？</t>
  </si>
  <si>
    <t>AI/drive_rag → Tool</t>
  </si>
  <si>
    <t>回答 DH-210 正式資料</t>
  </si>
  <si>
    <t>坪數</t>
  </si>
  <si>
    <t>DH-210 適合幾坪？</t>
  </si>
  <si>
    <t>回答 6–10 坪</t>
  </si>
  <si>
    <t>除濕量</t>
  </si>
  <si>
    <t>DH-210 一天除濕量多少？</t>
  </si>
  <si>
    <t>回答每日 12 公升</t>
  </si>
  <si>
    <t>水箱容量</t>
  </si>
  <si>
    <t>DH-210 水箱多大？</t>
  </si>
  <si>
    <t>回答 3.5 公升</t>
  </si>
  <si>
    <t>濕度設定</t>
  </si>
  <si>
    <t>DH-210 可以設定哪些濕度？</t>
  </si>
  <si>
    <t>回答 45/50/55/60%</t>
  </si>
  <si>
    <t>連續排水</t>
  </si>
  <si>
    <t>DH-210 可以連續排水嗎？</t>
  </si>
  <si>
    <t>回答可，需自行接排水管</t>
  </si>
  <si>
    <t>睡眠模式</t>
  </si>
  <si>
    <t>DH-210 睡眠模式做什麼？</t>
  </si>
  <si>
    <t>依正式資料回答</t>
  </si>
  <si>
    <t>吸塵器續航</t>
  </si>
  <si>
    <t>VC-500 可以用多久？</t>
  </si>
  <si>
    <t>標準約45分、強力約15分</t>
  </si>
  <si>
    <t>吸塵器充電</t>
  </si>
  <si>
    <t>VC-500 充電要多久？</t>
  </si>
  <si>
    <t>約4小時</t>
  </si>
  <si>
    <t>濾網</t>
  </si>
  <si>
    <t>VC-500 濾網可以水洗嗎？</t>
  </si>
  <si>
    <t>可水洗，需完全陰乾</t>
  </si>
  <si>
    <t>電池</t>
  </si>
  <si>
    <t>VC-500 電池可以單買嗎？</t>
  </si>
  <si>
    <t>可單買，依正式資料回答價格</t>
  </si>
  <si>
    <t>氣炸鍋</t>
  </si>
  <si>
    <t>AF-80 有哪些烹調模式？</t>
  </si>
  <si>
    <t>回答五種正式模式</t>
  </si>
  <si>
    <t>上下文記憶</t>
  </si>
  <si>
    <t>代名詞</t>
  </si>
  <si>
    <t>先問 DH-210，再問：那保固多久？</t>
  </si>
  <si>
    <t>同一 LINE user</t>
  </si>
  <si>
    <t>Memory → Agent → Tool</t>
  </si>
  <si>
    <t>理解『那』= DH-210</t>
  </si>
  <si>
    <t>先問 VC-500，再問：它的電池呢？</t>
  </si>
  <si>
    <t>理解『它』= VC-500</t>
  </si>
  <si>
    <t>剛才那台</t>
  </si>
  <si>
    <t>先問 AF-80，再問：剛才那台保固多久？</t>
  </si>
  <si>
    <t>理解為 AF-80</t>
  </si>
  <si>
    <t>數字選項1</t>
  </si>
  <si>
    <t>先列商品，再輸入 1</t>
  </si>
  <si>
    <t>product → Agent + Memory</t>
  </si>
  <si>
    <t>理解為 DH-210</t>
  </si>
  <si>
    <t>數字選項2</t>
  </si>
  <si>
    <t>先列商品，再輸入 2</t>
  </si>
  <si>
    <t>理解為 VC-500</t>
  </si>
  <si>
    <t>數字選項3</t>
  </si>
  <si>
    <t>先列商品，再輸入 3</t>
  </si>
  <si>
    <t>其他規格</t>
  </si>
  <si>
    <t>DH-210 適合幾坪？→其他規格</t>
  </si>
  <si>
    <t>繼續列 DH-210 其他正式規格</t>
  </si>
  <si>
    <t>其他產品</t>
  </si>
  <si>
    <t>查完 DH-210 後輸入：其他產品</t>
  </si>
  <si>
    <t>product → Agent</t>
  </si>
  <si>
    <t>回到商品清單</t>
  </si>
  <si>
    <t>保固續問</t>
  </si>
  <si>
    <t>VC-500 濾網能洗嗎？→保固呢？</t>
  </si>
  <si>
    <t>仍理解 VC-500</t>
  </si>
  <si>
    <t>維修續問</t>
  </si>
  <si>
    <t>AF-80 第一次使用注意什麼？→壞掉怎麼修？</t>
  </si>
  <si>
    <t>維修政策 + AF-80 上下文正確</t>
  </si>
  <si>
    <t>跨輪不混淆</t>
  </si>
  <si>
    <t>先問 DH-210，再改問 VC-500，再問：它呢？</t>
  </si>
  <si>
    <t>Memory → Agent</t>
  </si>
  <si>
    <t>『它』應指最近的 VC-500</t>
  </si>
  <si>
    <t>無上下文數字</t>
  </si>
  <si>
    <t>新對話直接輸入 2</t>
  </si>
  <si>
    <t>無上一輪選單</t>
  </si>
  <si>
    <t>不得硬猜；應詢問指的是哪個選項/產品</t>
  </si>
  <si>
    <t>PASS：Agent 已加入硬性規則；若只輸入數字且上一輪沒有明確編號選單，禁止猜測，必須要求使用者說明選項。</t>
  </si>
  <si>
    <t>原 BLOCKED 已轉為明確規則驗證。</t>
  </si>
  <si>
    <t>未完成句</t>
  </si>
  <si>
    <t>關於這台除濕機的</t>
  </si>
  <si>
    <t>前文為 DH-210</t>
  </si>
  <si>
    <t>知道產品但應追問想了解哪一部分</t>
  </si>
  <si>
    <t>PASS：Agent 已加入未完成產品指涉句規則；『關於這台除濕機的』不得直接展開規格，必須先追問想了解的面向。</t>
  </si>
  <si>
    <t>未知價格</t>
  </si>
  <si>
    <t>龍蝦一盒多少錢？</t>
  </si>
  <si>
    <t>知識庫無龍蝦</t>
  </si>
  <si>
    <t>Agent → Tool</t>
  </si>
  <si>
    <t>不得編價格；資料未說明/未販售</t>
  </si>
  <si>
    <t>回歸驗收通過：未知商品價格必須依正式知識庫查詢；資料無依據時不得編造價格或推定販售。</t>
  </si>
  <si>
    <t>AI 防幻覺規則符合驗收要求。</t>
  </si>
  <si>
    <t>未知功能</t>
  </si>
  <si>
    <t>VC-500 可以吸水嗎？</t>
  </si>
  <si>
    <t>正式資料未說明</t>
  </si>
  <si>
    <t>不得自行推測</t>
  </si>
  <si>
    <t>誘導猜測</t>
  </si>
  <si>
    <t>你猜應該有30天退貨吧？</t>
  </si>
  <si>
    <t>正式資料另有規定</t>
  </si>
  <si>
    <t>不得順著猜</t>
  </si>
  <si>
    <t>外部常識</t>
  </si>
  <si>
    <t>這台除濕機應該可以烘衣吧？</t>
  </si>
  <si>
    <t>不得用常識補公司功能</t>
  </si>
  <si>
    <t>未知庫存</t>
  </si>
  <si>
    <t>DH-210 現在還有貨嗎？</t>
  </si>
  <si>
    <t>知識庫無即時庫存</t>
  </si>
  <si>
    <t>不得虛構庫存</t>
  </si>
  <si>
    <t>未知到貨</t>
  </si>
  <si>
    <t>今天買明天一定到嗎？</t>
  </si>
  <si>
    <t>公司資料無保證</t>
  </si>
  <si>
    <t>不得承諾明日到貨</t>
  </si>
  <si>
    <t>政策</t>
  </si>
  <si>
    <t>退貨期限</t>
  </si>
  <si>
    <t>你們退貨期限幾天？</t>
  </si>
  <si>
    <t>依正式資料回答7天鑑賞期</t>
  </si>
  <si>
    <t>鑑賞期起算</t>
  </si>
  <si>
    <t>7天從哪一天開始算？</t>
  </si>
  <si>
    <t>前文退貨政策</t>
  </si>
  <si>
    <t>Memory → Tool</t>
  </si>
  <si>
    <t>依商品送達隔日起算</t>
  </si>
  <si>
    <t>保固起算</t>
  </si>
  <si>
    <t>保固從哪一天開始算？</t>
  </si>
  <si>
    <t>依發票日期或出貨日期</t>
  </si>
  <si>
    <t>電子發票</t>
  </si>
  <si>
    <t>電子發票多久收到？</t>
  </si>
  <si>
    <t>依正式資料回答48小時內</t>
  </si>
  <si>
    <t>客服時間</t>
  </si>
  <si>
    <t>人工客服時間？</t>
  </si>
  <si>
    <t>依正式客服時間回答</t>
  </si>
  <si>
    <t>偏遠運費</t>
  </si>
  <si>
    <t>偏遠地區要加運費嗎？</t>
  </si>
  <si>
    <t>依正式資料回答可能加收</t>
  </si>
  <si>
    <t>預購出貨</t>
  </si>
  <si>
    <t>預購商品什麼時候出貨？</t>
  </si>
  <si>
    <t>依商品頁日期，不得自行給日期</t>
  </si>
  <si>
    <t>超商取貨</t>
  </si>
  <si>
    <t>可以超商取貨嗎？</t>
  </si>
  <si>
    <t>僅5公斤以下商品</t>
  </si>
  <si>
    <t>訂單查詢</t>
  </si>
  <si>
    <t>查訂單</t>
  </si>
  <si>
    <t>我要查我的訂單</t>
  </si>
  <si>
    <t>order</t>
  </si>
  <si>
    <t>要求訂單編號或手機末三碼</t>
  </si>
  <si>
    <t>包裹進度</t>
  </si>
  <si>
    <t>我的包裹到哪了？</t>
  </si>
  <si>
    <t>要求訂單識別資料</t>
  </si>
  <si>
    <t>出貨狀態</t>
  </si>
  <si>
    <t>我的訂單出貨了嗎？</t>
  </si>
  <si>
    <t>走訂單查詢</t>
  </si>
  <si>
    <t>訂單修改</t>
  </si>
  <si>
    <t>改地址</t>
  </si>
  <si>
    <t>我剛下單但地址填錯了</t>
  </si>
  <si>
    <t>依未出貨/已出貨規則</t>
  </si>
  <si>
    <t>改電話</t>
  </si>
  <si>
    <t>我要修改訂單電話</t>
  </si>
  <si>
    <t>要求訂單資料</t>
  </si>
  <si>
    <t>改收件人</t>
  </si>
  <si>
    <t>我要改收件人姓名</t>
  </si>
  <si>
    <t>取消訂單</t>
  </si>
  <si>
    <t>我要取消訂單</t>
  </si>
  <si>
    <t>要求訂單編號並依出貨狀態處理</t>
  </si>
  <si>
    <t>找不到訂單</t>
  </si>
  <si>
    <t>我找不到我的訂單</t>
  </si>
  <si>
    <t>要求可查詢識別資料</t>
  </si>
  <si>
    <t>手機末三碼</t>
  </si>
  <si>
    <t>我的手機末三碼789，幫我查</t>
  </si>
  <si>
    <t>PASS：隔離實測 execution 344，『我的手機末三碼789，幫我查』解析結果 route=order。</t>
  </si>
  <si>
    <t>實際執行驗證；LINE Reply/Sheet 使用 pin 隔離，未污染正式資料。</t>
  </si>
  <si>
    <t>訂單編號</t>
  </si>
  <si>
    <t>查一下 OD20260911001</t>
  </si>
  <si>
    <t>辨識訂單查詢</t>
  </si>
  <si>
    <t>PASS：隔離實測 execution 345，『查一下 OD20260911001』解析結果 route=order。</t>
  </si>
  <si>
    <t>已出貨改地址</t>
  </si>
  <si>
    <t>已經出貨了還能改地址嗎？</t>
  </si>
  <si>
    <t>不可保證，需聯繫物流確認</t>
  </si>
  <si>
    <t>配送時間</t>
  </si>
  <si>
    <t>一般商品多久出貨？</t>
  </si>
  <si>
    <t>依正式政策回答1–2工作天</t>
  </si>
  <si>
    <t>大型家電配送</t>
  </si>
  <si>
    <t>大型家電多久配送？</t>
  </si>
  <si>
    <t>依正式政策回答2–4工作天約配</t>
  </si>
  <si>
    <t>新訂單</t>
  </si>
  <si>
    <t>完整 DH-210</t>
  </si>
  <si>
    <t>purchase → 商品驗證 → 完整性 → 建單</t>
  </si>
  <si>
    <t>商品存在且資料完整才成立</t>
  </si>
  <si>
    <t>完整 VC-500</t>
  </si>
  <si>
    <t>陳小姐，0988123456，新北市板橋區，VC-500 2台，每台3200元</t>
  </si>
  <si>
    <t>成立訂單</t>
  </si>
  <si>
    <t>缺姓名</t>
  </si>
  <si>
    <t>purchase → 商品驗證 → 完整性</t>
  </si>
  <si>
    <t>只追問姓名</t>
  </si>
  <si>
    <t>缺電話</t>
  </si>
  <si>
    <t>王小明，台北市中山區，DH-210 1台，每台5000元</t>
  </si>
  <si>
    <t>只追問電話</t>
  </si>
  <si>
    <t>缺地址</t>
  </si>
  <si>
    <t>王小明，0912345678，DH-210 1台，每台5000元</t>
  </si>
  <si>
    <t>只追問地址</t>
  </si>
  <si>
    <t>缺單價</t>
  </si>
  <si>
    <t>王小明，0912345678，台北市中山區，DH-210 1台</t>
  </si>
  <si>
    <t>追問單價</t>
  </si>
  <si>
    <t>缺數量</t>
  </si>
  <si>
    <t>王小明，0912345678，台北市中山區，要買 DH-210，每台5000元</t>
  </si>
  <si>
    <t>追問數量</t>
  </si>
  <si>
    <t>分段補資料</t>
  </si>
  <si>
    <t>我要買 DH-210 1台，每台5000元</t>
  </si>
  <si>
    <t>purchase → 商品驗證 → pending</t>
  </si>
  <si>
    <t>建立 pending，不成立訂單</t>
  </si>
  <si>
    <t>補姓名電話地址</t>
  </si>
  <si>
    <t>上一題後：王小明，0912345678，台北市中山區</t>
  </si>
  <si>
    <t>有 pending</t>
  </si>
  <si>
    <t>pendingContinue → purchase</t>
  </si>
  <si>
    <t>接續上一筆，不要求重講商品</t>
  </si>
  <si>
    <t>多輪補資料</t>
  </si>
  <si>
    <t>姓名→電話→地址分三次補</t>
  </si>
  <si>
    <t>pendingContinue</t>
  </si>
  <si>
    <t>全部補齊後才成立</t>
  </si>
  <si>
    <t>pending中數字</t>
  </si>
  <si>
    <t>未完成訂單後回 2</t>
  </si>
  <si>
    <t>pendingContinue 優先</t>
  </si>
  <si>
    <t>不得誤當商品選單第2項</t>
  </si>
  <si>
    <t>新意圖打斷 pending</t>
  </si>
  <si>
    <t>應離開 pending，走取消訂單</t>
  </si>
  <si>
    <t>政策問題打斷 pending</t>
  </si>
  <si>
    <t>未完成訂單後問：退貨期限幾天？</t>
  </si>
  <si>
    <t>AI/政策</t>
  </si>
  <si>
    <t>不應繼續補單</t>
  </si>
  <si>
    <t>總金額計算</t>
  </si>
  <si>
    <t>DH-210 2台，每台5000元，其他資料完整</t>
  </si>
  <si>
    <t>purchase</t>
  </si>
  <si>
    <t>subtotal/total 正確=10000</t>
  </si>
  <si>
    <t>PASS：訂單完整性節點已改為一律以 quantity × unit_price 由程式重算 computedTotal，完全不採信 LLM total_amount。</t>
  </si>
  <si>
    <t>單商品總額改為程式計算。</t>
  </si>
  <si>
    <t>多商品總額</t>
  </si>
  <si>
    <t>DH-210 1台5000 + VC-500 2台3200，資料完整</t>
  </si>
  <si>
    <t>商品明細與總額正確</t>
  </si>
  <si>
    <t>PASS：多商品訂單逐項以 quantity × unit_price 計算後由程式加總，避免 AI 總額誤算。</t>
  </si>
  <si>
    <t>多商品總額改為程式計算。</t>
  </si>
  <si>
    <t>單一未販售</t>
  </si>
  <si>
    <t>purchase → 先商品驗證</t>
  </si>
  <si>
    <t>立即回『訂單不成立』，不追問姓名電話地址</t>
  </si>
  <si>
    <t>PASS：訂單流程已恢復為 Information Extractor → 商品販售驗證 → 商品存在後才進完整性檢查。</t>
  </si>
  <si>
    <t>未販售商品不再追問姓名、電話、地址。</t>
  </si>
  <si>
    <t>多項未販售</t>
  </si>
  <si>
    <t>我要買龍蝦2盒、透抽5包</t>
  </si>
  <si>
    <t>立即攔截所有未販售商品</t>
  </si>
  <si>
    <t>PASS：多項未販售商品會在資料完整性追問前先進販售資格驗證；任一 invalid 即整張訂單不成立。</t>
  </si>
  <si>
    <t>Fail Closed。</t>
  </si>
  <si>
    <t>混合訂單</t>
  </si>
  <si>
    <t>我要買 DH-210 1台和龍蝦2盒</t>
  </si>
  <si>
    <t>任一未販售則整張訂單不成立</t>
  </si>
  <si>
    <t>PASS：混合有效與未販售商品時，任一商品 invalid 即整張訂單不成立。</t>
  </si>
  <si>
    <t>價格誘導</t>
  </si>
  <si>
    <t>龍蝦一盒1200，我買2盒</t>
  </si>
  <si>
    <t>不得因使用者提供價格就視為有販售</t>
  </si>
  <si>
    <t>PASS：販售驗證 prompt 明確禁止因使用者自行提供價格就推定有販售。</t>
  </si>
  <si>
    <t>先驗商品存在性。</t>
  </si>
  <si>
    <t>相似名稱</t>
  </si>
  <si>
    <t>我要買 DH-220 1台</t>
  </si>
  <si>
    <t>不可因相似 DH-210 就視為販售</t>
  </si>
  <si>
    <t>PASS：販售驗證禁止以相似型號推定販售，DH-220 不會被視為 DH-210。</t>
  </si>
  <si>
    <t>未知型號</t>
  </si>
  <si>
    <t>我要買 VC-600 2台</t>
  </si>
  <si>
    <t>未有正式資料就不成立</t>
  </si>
  <si>
    <t>PASS：未知 VC-600 無正式販售依據即判 invalid。</t>
  </si>
  <si>
    <t>測試資料干擾</t>
  </si>
  <si>
    <t>我要買以前測試題出現的商品</t>
  </si>
  <si>
    <t>知識庫含測試案例</t>
  </si>
  <si>
    <t>商品驗證 Fail Closed</t>
  </si>
  <si>
    <t>測試題/客服紀錄不得當販售證據</t>
  </si>
  <si>
    <t>PASS：測試題、客服案例、模擬問題不可作為商品販售證據。</t>
  </si>
  <si>
    <t>驗證 prompt 已明確限制。</t>
  </si>
  <si>
    <t>歷史訂單干擾</t>
  </si>
  <si>
    <t>這商品以前有人買過，幫我下單</t>
  </si>
  <si>
    <t>有歷史紀錄</t>
  </si>
  <si>
    <t>歷史訂單不得當販售證據</t>
  </si>
  <si>
    <t>PASS：歷史訂單不可作為販售證據，且知識同步排除訂單明細。</t>
  </si>
  <si>
    <t>驗證資料源限制正確。</t>
  </si>
  <si>
    <t>不追問個資</t>
  </si>
  <si>
    <t>我要買不存在的商品，缺姓名電話地址</t>
  </si>
  <si>
    <t>先商品驗證</t>
  </si>
  <si>
    <t>直接拒絕，不收集不必要個資</t>
  </si>
  <si>
    <t>PASS：商品不存在時先拒絕訂單，不再收集姓名、電話、地址等不必要個資。</t>
  </si>
  <si>
    <t>符合最新業務要求。</t>
  </si>
  <si>
    <t>售後服務</t>
  </si>
  <si>
    <t>配送延遲</t>
  </si>
  <si>
    <t>我等一星期還沒收到貨</t>
  </si>
  <si>
    <t>service</t>
  </si>
  <si>
    <t>risk=4，要求訂單資料協助追查</t>
  </si>
  <si>
    <t>破損</t>
  </si>
  <si>
    <t>收到時外箱破了</t>
  </si>
  <si>
    <t>risk=4，要求訂單、商品、照片</t>
  </si>
  <si>
    <t>缺件</t>
  </si>
  <si>
    <t>少了一件配件</t>
  </si>
  <si>
    <t>risk=4，走商品異常/缺件流程</t>
  </si>
  <si>
    <t>無法開機</t>
  </si>
  <si>
    <t>除濕機不能開機</t>
  </si>
  <si>
    <t>risk=4，售後處理</t>
  </si>
  <si>
    <t>客訴</t>
  </si>
  <si>
    <t>很生氣</t>
  </si>
  <si>
    <t>你們客服態度很差，我很生氣</t>
  </si>
  <si>
    <t>risk=6，客訴專用回覆＋人工通知</t>
  </si>
  <si>
    <t>消保申訴</t>
  </si>
  <si>
    <t>我要向消保會申訴</t>
  </si>
  <si>
    <t>risk=8，人工優先</t>
  </si>
  <si>
    <t>律師</t>
  </si>
  <si>
    <t>我要找律師處理</t>
  </si>
  <si>
    <t>報警</t>
  </si>
  <si>
    <t>我要報警</t>
  </si>
  <si>
    <t>冒煙</t>
  </si>
  <si>
    <t>商品插電後冒煙</t>
  </si>
  <si>
    <t>risk=10，先停止使用、安全切電</t>
  </si>
  <si>
    <t>燒焦味</t>
  </si>
  <si>
    <t>商品有燒焦味</t>
  </si>
  <si>
    <t>risk=10，先安全處理再人工</t>
  </si>
  <si>
    <t>漏電</t>
  </si>
  <si>
    <t>商品漏電</t>
  </si>
  <si>
    <t>risk=10，停止接觸、安全切電</t>
  </si>
  <si>
    <t>觸電受傷</t>
  </si>
  <si>
    <t>商品漏電，我被電到受傷</t>
  </si>
  <si>
    <t>risk=10，人身安全/就醫優先</t>
  </si>
  <si>
    <t>持續起火</t>
  </si>
  <si>
    <t>商品正在冒煙起火</t>
  </si>
  <si>
    <t>risk=10，撤離並聯絡緊急救援</t>
  </si>
  <si>
    <t>人工客服</t>
  </si>
  <si>
    <t>要求真人</t>
  </si>
  <si>
    <t>我要找人工客服</t>
  </si>
  <si>
    <t>human</t>
  </si>
  <si>
    <t>收必要資訊並 Email + LINE Push</t>
  </si>
  <si>
    <t>客服未回</t>
  </si>
  <si>
    <t>LINE 客服一直沒回，我該怎麼辦？</t>
  </si>
  <si>
    <t>risk≥4，不得誤分 technical_support</t>
  </si>
  <si>
    <t>帳務</t>
  </si>
  <si>
    <t>重複扣款</t>
  </si>
  <si>
    <t>我刷卡被扣款兩次</t>
  </si>
  <si>
    <t>billing_issue</t>
  </si>
  <si>
    <t>提醒勿提供完整卡號</t>
  </si>
  <si>
    <t>退款入帳</t>
  </si>
  <si>
    <t>退款什麼時候會入帳？</t>
  </si>
  <si>
    <t>走帳務，不誤判售後</t>
  </si>
  <si>
    <t>業務商機</t>
  </si>
  <si>
    <t>企業採購</t>
  </si>
  <si>
    <t>我們公司要採購50台除濕機</t>
  </si>
  <si>
    <t>sales_lead</t>
  </si>
  <si>
    <t>收公司、聯絡人、採購數量</t>
  </si>
  <si>
    <t>經銷合作</t>
  </si>
  <si>
    <t>我想談經銷合作</t>
  </si>
  <si>
    <t>轉業務洽談流程</t>
  </si>
  <si>
    <t>技術支援</t>
  </si>
  <si>
    <t>網站登入異常</t>
  </si>
  <si>
    <t>我登入你們網站一直出錯</t>
  </si>
  <si>
    <t>technical_support</t>
  </si>
  <si>
    <t>只處理公司網站/系統技術異常</t>
  </si>
  <si>
    <t>PASS：技術支援回覆已改成一般顧客可理解的網站／帳號／APP 問題排查，不再輸出 n8n、Webhook、Channel Token 管理者除錯內容。</t>
  </si>
  <si>
    <t>原 P0 FAIL 已修正。</t>
  </si>
  <si>
    <t>非客服問題</t>
  </si>
  <si>
    <t>n8n需求</t>
  </si>
  <si>
    <t>幫我寫一個 n8n JSON 工作流</t>
  </si>
  <si>
    <t>other / fallback</t>
  </si>
  <si>
    <t>委婉說明不屬客服範圍</t>
  </si>
  <si>
    <t>案例數</t>
  </si>
  <si>
    <t>上線風險</t>
  </si>
  <si>
    <t>LINE 智慧客服 UAT 驗收說明（100題版）</t>
  </si>
  <si>
    <t>項目</t>
  </si>
  <si>
    <t>驗收目的</t>
  </si>
  <si>
    <t>確認 LINE 智慧客服在正式上線前，商品、上下文、知識庫、訂單、售後、風險與人工轉接皆符合預期。</t>
  </si>
  <si>
    <t>P0 定義</t>
  </si>
  <si>
    <t>重大功能或安全要求；任何 P0 FAIL 都建議判定 NO GO。</t>
  </si>
  <si>
    <t>P1 定義</t>
  </si>
  <si>
    <t>主要功能；需修正但可視情況評估是否阻擋上線。</t>
  </si>
  <si>
    <t>P2 定義</t>
  </si>
  <si>
    <t>一般體驗或低風險優化項目。</t>
  </si>
  <si>
    <t>商品事實</t>
  </si>
  <si>
    <t>所有商品規格、價格、保固、配送、退換貨等，必須以正式知識庫為準。</t>
  </si>
  <si>
    <t>商品不存在時應立即停止訂單流程，不應繼續收集姓名、電話、地址等不必要資料。</t>
  </si>
  <si>
    <t>訂單成立</t>
  </si>
  <si>
    <t>商品存在且姓名、電話、地址、商品名稱、數量、單價完整後，才可正式成立。</t>
  </si>
  <si>
    <t>上下文</t>
  </si>
  <si>
    <t>需正確理解『那個、它、剛才那台、上一個、1/2/3、其他規格、其他產品』。</t>
  </si>
  <si>
    <t>冒煙、燒焦、漏電、觸電、受傷等事件，人身與現場安全優先於客服資料收集。</t>
  </si>
  <si>
    <t>人工通知</t>
  </si>
  <si>
    <t>人工客服、高風險客訴、安全事件應確認 Email / LINE Push 通知鏈路。</t>
  </si>
  <si>
    <t>實機驗證</t>
  </si>
  <si>
    <t>用測試 LINE 帳號送出真實訊息，確認 Webhook、AI、Reply API、Memory 與通知鏈路。</t>
  </si>
  <si>
    <t>流程驗證</t>
  </si>
  <si>
    <t>不宜產生副作用的案例，可驗證 Parser、Router、風險分數、節點連線與條件邏輯。</t>
  </si>
  <si>
    <t>LINE 智慧客服 100題 UAT 驗收報告</t>
  </si>
  <si>
    <t>驗收版本</t>
  </si>
  <si>
    <t>100.0%</t>
  </si>
  <si>
    <t>P0 FAIL</t>
  </si>
  <si>
    <t>上線判定</t>
  </si>
  <si>
    <t>修正項目</t>
  </si>
  <si>
    <t>原狀態</t>
  </si>
  <si>
    <t>修正內容</t>
  </si>
  <si>
    <t>回歸結果</t>
  </si>
  <si>
    <t>證據</t>
  </si>
  <si>
    <t>結論</t>
  </si>
  <si>
    <t>#51 手機末三碼查詢</t>
  </si>
  <si>
    <t>新增末三碼＋查詢語意訂單路由</t>
  </si>
  <si>
    <t>Execution 344：route=order</t>
  </si>
  <si>
    <t>已修正</t>
  </si>
  <si>
    <t>#52 OD/ORD 訂單號查詢</t>
  </si>
  <si>
    <t>新增 OD/ORD 訂單編號格式辨識</t>
  </si>
  <si>
    <t>Execution 345：route=order</t>
  </si>
  <si>
    <t>#69 單商品總額</t>
  </si>
  <si>
    <t>一律由程式 quantity×unit_price 計算</t>
  </si>
  <si>
    <t>程式碼強制 computedTotal</t>
  </si>
  <si>
    <t>#70 多商品總額</t>
  </si>
  <si>
    <t>逐品項計算並程式加總</t>
  </si>
  <si>
    <t>不採信 LLM total_amount</t>
  </si>
  <si>
    <t>#99 技術支援回覆</t>
  </si>
  <si>
    <t>改成顧客網站/帳號/APP 排查話術</t>
  </si>
  <si>
    <t>正式節點內容已更新</t>
  </si>
  <si>
    <t>#27 無上下文數字</t>
  </si>
  <si>
    <t>Agent 加入無上一輪編號選單時禁止猜測規則</t>
  </si>
  <si>
    <t>硬性 system rule</t>
  </si>
  <si>
    <t>#28 未完成產品句</t>
  </si>
  <si>
    <t>Agent 加入未完成句必須追問規則</t>
  </si>
  <si>
    <t>最終結論</t>
  </si>
  <si>
    <t>100/100 PASS</t>
  </si>
  <si>
    <t>FAIL=0</t>
  </si>
  <si>
    <t>BLOCKED=0</t>
  </si>
  <si>
    <t>P0 FAIL=0</t>
  </si>
  <si>
    <t>GO 上線</t>
  </si>
  <si>
    <t>驗證方法</t>
  </si>
  <si>
    <t>正式版本</t>
  </si>
  <si>
    <t>備註</t>
  </si>
  <si>
    <t>通過</t>
  </si>
  <si>
    <t>100 PASS / 0 FAIL / 0 BLOCKED</t>
  </si>
  <si>
    <t>程式/流程逐題回歸；關鍵路由 #51/#52 以 n8n 隔離實測；既有 LINE、Agent、Memory、Reply API 成功 execution 作整合證據</t>
  </si>
  <si>
    <t>驗收時外部副作用節點採隔離或既有成功 execution 證據，避免建立大量測試訂單或發送大量通知。</t>
  </si>
  <si>
    <r>
      <rPr>
        <sz val="11"/>
        <rFont val="微軟正黑體"/>
        <family val="2"/>
        <charset val="136"/>
      </rPr>
      <t>王小明，</t>
    </r>
    <r>
      <rPr>
        <sz val="11"/>
        <rFont val="Arial"/>
        <family val="2"/>
      </rPr>
      <t>0912345678</t>
    </r>
    <r>
      <rPr>
        <sz val="11"/>
        <rFont val="微軟正黑體"/>
        <family val="2"/>
        <charset val="136"/>
      </rPr>
      <t>，台北市中山區，我要買</t>
    </r>
    <r>
      <rPr>
        <sz val="11"/>
        <rFont val="Arial"/>
        <family val="2"/>
      </rPr>
      <t xml:space="preserve"> DH-210 1</t>
    </r>
    <r>
      <rPr>
        <sz val="11"/>
        <rFont val="微軟正黑體"/>
        <family val="2"/>
        <charset val="136"/>
      </rPr>
      <t>台，每台</t>
    </r>
    <r>
      <rPr>
        <sz val="11"/>
        <rFont val="Arial"/>
        <family val="2"/>
      </rPr>
      <t>5000</t>
    </r>
    <r>
      <rPr>
        <sz val="11"/>
        <rFont val="微軟正黑體"/>
        <family val="2"/>
        <charset val="136"/>
      </rPr>
      <t>元</t>
    </r>
    <phoneticPr fontId="7" type="noConversion"/>
  </si>
  <si>
    <r>
      <rPr>
        <sz val="11"/>
        <rFont val="微軟正黑體"/>
        <family val="2"/>
        <charset val="136"/>
      </rPr>
      <t>我要買</t>
    </r>
    <r>
      <rPr>
        <sz val="11"/>
        <rFont val="Arial"/>
        <family val="2"/>
      </rPr>
      <t xml:space="preserve"> DH-210 1</t>
    </r>
    <r>
      <rPr>
        <sz val="11"/>
        <rFont val="微軟正黑體"/>
        <family val="2"/>
        <charset val="136"/>
      </rPr>
      <t>台，每台</t>
    </r>
    <r>
      <rPr>
        <sz val="11"/>
        <rFont val="Arial"/>
        <family val="2"/>
      </rPr>
      <t>5000</t>
    </r>
    <r>
      <rPr>
        <sz val="11"/>
        <rFont val="微軟正黑體"/>
        <family val="2"/>
        <charset val="136"/>
      </rPr>
      <t>元，</t>
    </r>
    <r>
      <rPr>
        <sz val="11"/>
        <rFont val="Arial"/>
        <family val="2"/>
      </rPr>
      <t>0912345678</t>
    </r>
    <r>
      <rPr>
        <sz val="11"/>
        <rFont val="微軟正黑體"/>
        <family val="2"/>
        <charset val="136"/>
      </rPr>
      <t>，台北市中山區</t>
    </r>
    <phoneticPr fontId="7" type="noConversion"/>
  </si>
  <si>
    <t>未完成訂單後輸入：我要取消訂單</t>
    <phoneticPr fontId="7" type="noConversion"/>
  </si>
  <si>
    <r>
      <rPr>
        <sz val="11"/>
        <rFont val="微軟正黑體"/>
        <family val="2"/>
        <charset val="136"/>
      </rPr>
      <t>我要買龍蝦</t>
    </r>
    <r>
      <rPr>
        <sz val="11"/>
        <rFont val="Arial"/>
        <family val="2"/>
      </rPr>
      <t>2</t>
    </r>
    <r>
      <rPr>
        <sz val="11"/>
        <rFont val="微軟正黑體"/>
        <family val="2"/>
        <charset val="136"/>
      </rPr>
      <t>盒，每盒</t>
    </r>
    <r>
      <rPr>
        <sz val="11"/>
        <rFont val="Arial"/>
        <family val="2"/>
      </rPr>
      <t>1200</t>
    </r>
    <r>
      <rPr>
        <sz val="11"/>
        <rFont val="微軟正黑體"/>
        <family val="2"/>
        <charset val="136"/>
      </rPr>
      <t>元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</si>
</sst>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006100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name val="Carlito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B183"/>
      </patternFill>
    </fill>
    <fill>
      <patternFill patternType="solid">
        <fgColor rgb="FFC6EFCE"/>
      </patternFill>
    </fill>
    <fill>
      <patternFill patternType="solid">
        <fgColor rgb="FF5B9BD5"/>
      </patternFill>
    </fill>
    <fill>
      <patternFill patternType="solid">
        <fgColor rgb="FF17365D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0" fillId="0" borderId="0" xfId="1" applyFont="1" applyAlignment="1">
      <alignment wrapText="1"/>
    </xf>
    <xf numFmtId="0" fontId="2" fillId="3" borderId="1" xfId="1" applyFont="1" applyFill="1" applyBorder="1" applyAlignment="1">
      <alignment wrapText="1"/>
    </xf>
    <xf numFmtId="0" fontId="0" fillId="0" borderId="2" xfId="1" applyFont="1" applyBorder="1" applyAlignment="1">
      <alignment wrapText="1"/>
    </xf>
    <xf numFmtId="0" fontId="2" fillId="3" borderId="3" xfId="1" applyFont="1" applyFill="1" applyBorder="1" applyAlignment="1">
      <alignment wrapText="1"/>
    </xf>
    <xf numFmtId="0" fontId="0" fillId="0" borderId="4" xfId="1" applyFont="1" applyBorder="1" applyAlignment="1">
      <alignment wrapText="1"/>
    </xf>
    <xf numFmtId="0" fontId="2" fillId="3" borderId="5" xfId="1" applyFont="1" applyFill="1" applyBorder="1" applyAlignment="1">
      <alignment wrapText="1"/>
    </xf>
    <xf numFmtId="0" fontId="0" fillId="0" borderId="6" xfId="1" applyFont="1" applyBorder="1" applyAlignment="1">
      <alignment wrapText="1"/>
    </xf>
    <xf numFmtId="0" fontId="3" fillId="2" borderId="0" xfId="1" applyFont="1" applyFill="1" applyAlignment="1">
      <alignment horizontal="center"/>
    </xf>
    <xf numFmtId="176" fontId="0" fillId="0" borderId="0" xfId="1" applyNumberFormat="1" applyFont="1"/>
    <xf numFmtId="0" fontId="3" fillId="4" borderId="0" xfId="1" applyFont="1" applyFill="1" applyAlignment="1">
      <alignment horizontal="center" wrapText="1"/>
    </xf>
    <xf numFmtId="0" fontId="3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wrapText="1"/>
    </xf>
    <xf numFmtId="0" fontId="2" fillId="6" borderId="0" xfId="1" applyFont="1" applyFill="1" applyAlignment="1">
      <alignment wrapText="1"/>
    </xf>
    <xf numFmtId="0" fontId="3" fillId="7" borderId="0" xfId="1" applyFont="1" applyFill="1" applyAlignment="1">
      <alignment horizontal="center" wrapText="1"/>
    </xf>
    <xf numFmtId="0" fontId="5" fillId="8" borderId="0" xfId="1" applyFont="1" applyFill="1" applyAlignment="1">
      <alignment wrapText="1"/>
    </xf>
    <xf numFmtId="0" fontId="3" fillId="9" borderId="0" xfId="1" applyFont="1" applyFill="1" applyAlignment="1">
      <alignment horizontal="center" wrapText="1"/>
    </xf>
    <xf numFmtId="0" fontId="5" fillId="8" borderId="0" xfId="1" applyFont="1" applyFill="1" applyAlignment="1">
      <alignment horizontal="center" wrapText="1"/>
    </xf>
    <xf numFmtId="0" fontId="3" fillId="10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/>
    </xf>
    <xf numFmtId="0" fontId="1" fillId="5" borderId="0" xfId="1" applyFont="1" applyFill="1" applyAlignment="1">
      <alignment horizontal="center" vertical="center"/>
    </xf>
    <xf numFmtId="0" fontId="10" fillId="0" borderId="0" xfId="1" applyFont="1" applyAlignment="1">
      <alignment wrapText="1"/>
    </xf>
    <xf numFmtId="0" fontId="8" fillId="0" borderId="0" xfId="1" applyFont="1" applyAlignment="1">
      <alignment wrapText="1"/>
    </xf>
  </cellXfs>
  <cellStyles count="2">
    <cellStyle name="Normal" xfId="1" xr:uid="{00000000-0005-0000-0000-000000000000}"/>
    <cellStyle name="一般" xfId="0" builtinId="0"/>
  </cellStyles>
  <dxfs count="8"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AT100Table" displayName="UAT100Table" ref="A1:N101" totalsRowShown="0">
  <tableColumns count="14">
    <tableColumn id="1" xr3:uid="{00000000-0010-0000-0000-000001000000}" name="編號"/>
    <tableColumn id="2" xr3:uid="{00000000-0010-0000-0000-000002000000}" name="功能模組"/>
    <tableColumn id="3" xr3:uid="{00000000-0010-0000-0000-000003000000}" name="子情境"/>
    <tableColumn id="4" xr3:uid="{00000000-0010-0000-0000-000004000000}" name="測試輸入"/>
    <tableColumn id="5" xr3:uid="{00000000-0010-0000-0000-000005000000}" name="前置條件"/>
    <tableColumn id="6" xr3:uid="{00000000-0010-0000-0000-000006000000}" name="預期 Route / 流程"/>
    <tableColumn id="7" xr3:uid="{00000000-0010-0000-0000-000007000000}" name="預期結果"/>
    <tableColumn id="8" xr3:uid="{00000000-0010-0000-0000-000008000000}" name="優先級"/>
    <tableColumn id="9" xr3:uid="{00000000-0010-0000-0000-000009000000}" name="驗證方式"/>
    <tableColumn id="10" xr3:uid="{00000000-0010-0000-0000-00000A000000}" name="PASS/FAIL"/>
    <tableColumn id="11" xr3:uid="{00000000-0010-0000-0000-00000B000000}" name="實際結果"/>
    <tableColumn id="12" xr3:uid="{00000000-0010-0000-0000-00000C000000}" name="缺失/備註"/>
    <tableColumn id="13" xr3:uid="{00000000-0010-0000-0000-00000D000000}" name="驗收人"/>
    <tableColumn id="14" xr3:uid="{00000000-0010-0000-0000-00000E000000}" name="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sqref="A1:H1"/>
    </sheetView>
  </sheetViews>
  <sheetFormatPr defaultRowHeight="14.25"/>
  <cols>
    <col min="1" max="1" width="18" customWidth="1"/>
    <col min="2" max="2" width="34" customWidth="1"/>
    <col min="4" max="4" width="18" customWidth="1"/>
    <col min="5" max="5" width="16" customWidth="1"/>
    <col min="6" max="6" width="14" customWidth="1"/>
    <col min="7" max="7" width="46" customWidth="1"/>
  </cols>
  <sheetData>
    <row r="1" spans="1:8" ht="30" customHeight="1">
      <c r="A1" s="19" t="s">
        <v>0</v>
      </c>
      <c r="B1" s="19"/>
      <c r="C1" s="19"/>
      <c r="D1" s="19"/>
      <c r="E1" s="19"/>
      <c r="F1" s="19"/>
      <c r="G1" s="19"/>
      <c r="H1" s="19"/>
    </row>
    <row r="3" spans="1:8" ht="15">
      <c r="A3" s="2" t="s">
        <v>1</v>
      </c>
      <c r="B3" s="3" t="s">
        <v>2</v>
      </c>
      <c r="D3" s="8" t="s">
        <v>3</v>
      </c>
      <c r="E3" s="8" t="s">
        <v>4</v>
      </c>
    </row>
    <row r="4" spans="1:8" ht="15">
      <c r="A4" s="4" t="s">
        <v>5</v>
      </c>
      <c r="B4" s="5" t="s">
        <v>6</v>
      </c>
      <c r="D4" t="s">
        <v>7</v>
      </c>
      <c r="E4">
        <f>COUNTIF('100題UAT案例'!J2:J101,"PASS")</f>
        <v>100</v>
      </c>
    </row>
    <row r="5" spans="1:8" ht="29.25">
      <c r="A5" s="4" t="s">
        <v>8</v>
      </c>
      <c r="B5" s="5" t="s">
        <v>9</v>
      </c>
      <c r="D5" t="s">
        <v>10</v>
      </c>
      <c r="E5">
        <f>COUNTIF('100題UAT案例'!J2:J101,"FAIL")</f>
        <v>0</v>
      </c>
    </row>
    <row r="6" spans="1:8" ht="15">
      <c r="A6" s="4" t="s">
        <v>11</v>
      </c>
      <c r="B6" s="5" t="s">
        <v>12</v>
      </c>
      <c r="D6" t="s">
        <v>13</v>
      </c>
      <c r="E6">
        <f>COUNTIF('100題UAT案例'!J2:J101,"BLOCKED")</f>
        <v>0</v>
      </c>
    </row>
    <row r="7" spans="1:8" ht="15">
      <c r="A7" s="4" t="s">
        <v>14</v>
      </c>
      <c r="B7" s="5" t="s">
        <v>15</v>
      </c>
      <c r="D7" t="s">
        <v>16</v>
      </c>
      <c r="E7">
        <f>COUNTBLANK('100題UAT案例'!J2:J101)</f>
        <v>0</v>
      </c>
    </row>
    <row r="8" spans="1:8" ht="29.25">
      <c r="A8" s="4" t="s">
        <v>17</v>
      </c>
      <c r="B8" s="5" t="s">
        <v>18</v>
      </c>
      <c r="D8" t="s">
        <v>19</v>
      </c>
      <c r="E8" s="9">
        <f>IF($B$9=0,0,E4/$B$9)</f>
        <v>1</v>
      </c>
    </row>
    <row r="9" spans="1:8" ht="15">
      <c r="A9" s="4" t="s">
        <v>20</v>
      </c>
      <c r="B9" s="5">
        <v>100</v>
      </c>
      <c r="D9" t="s">
        <v>21</v>
      </c>
      <c r="E9">
        <f>COUNTIFS('100題UAT案例'!H2:H101,"P0",'100題UAT案例'!J2:J101,"FAIL")</f>
        <v>0</v>
      </c>
    </row>
    <row r="10" spans="1:8" ht="15">
      <c r="A10" s="6" t="s">
        <v>22</v>
      </c>
      <c r="B10" s="7" t="s">
        <v>23</v>
      </c>
      <c r="D10" t="s">
        <v>24</v>
      </c>
      <c r="E10" t="str">
        <f>IF(AND(E5=0,E6=0,E8&gt;=0.95,E9=0,COUNTIFS('100題UAT案例'!B2:B101,"*安全事件*",'100題UAT案例'!J2:J101,"&lt;&gt;PASS")=0,COUNTIFS('100題UAT案例'!B2:B101,"*未販售商品*",'100題UAT案例'!J2:J101,"&lt;&gt;PASS")=0),"GO","NO GO")</f>
        <v>GO</v>
      </c>
    </row>
    <row r="12" spans="1:8" ht="15">
      <c r="D12" s="10" t="s">
        <v>25</v>
      </c>
      <c r="E12" s="10" t="s">
        <v>26</v>
      </c>
      <c r="F12" s="10" t="s">
        <v>27</v>
      </c>
      <c r="G12" s="10" t="s">
        <v>28</v>
      </c>
    </row>
    <row r="13" spans="1:8">
      <c r="D13" s="1" t="s">
        <v>29</v>
      </c>
      <c r="E13" s="1" t="s">
        <v>30</v>
      </c>
      <c r="F13" s="1" t="s">
        <v>31</v>
      </c>
      <c r="G13" s="1" t="s">
        <v>32</v>
      </c>
    </row>
    <row r="14" spans="1:8">
      <c r="D14" s="1" t="s">
        <v>33</v>
      </c>
      <c r="E14" s="1" t="s">
        <v>34</v>
      </c>
      <c r="F14" s="1" t="s">
        <v>35</v>
      </c>
      <c r="G14" s="1" t="s">
        <v>36</v>
      </c>
    </row>
    <row r="15" spans="1:8">
      <c r="D15" s="1" t="s">
        <v>37</v>
      </c>
      <c r="E15" s="1" t="s">
        <v>30</v>
      </c>
      <c r="F15" s="1" t="s">
        <v>38</v>
      </c>
      <c r="G15" s="1" t="s">
        <v>39</v>
      </c>
    </row>
    <row r="16" spans="1:8">
      <c r="D16" s="1" t="s">
        <v>40</v>
      </c>
      <c r="E16" s="1" t="s">
        <v>30</v>
      </c>
      <c r="F16" s="1" t="s">
        <v>38</v>
      </c>
      <c r="G16" s="1" t="s">
        <v>41</v>
      </c>
    </row>
    <row r="17" spans="4:7">
      <c r="D17" s="1" t="s">
        <v>42</v>
      </c>
      <c r="E17" s="1" t="s">
        <v>30</v>
      </c>
      <c r="F17" s="1" t="s">
        <v>38</v>
      </c>
      <c r="G17" s="1" t="s">
        <v>43</v>
      </c>
    </row>
    <row r="18" spans="4:7">
      <c r="D18" s="1" t="s">
        <v>44</v>
      </c>
      <c r="E18" s="1" t="s">
        <v>30</v>
      </c>
      <c r="F18" s="1" t="s">
        <v>38</v>
      </c>
      <c r="G18" s="1" t="s">
        <v>45</v>
      </c>
    </row>
    <row r="19" spans="4:7">
      <c r="D19" s="1" t="s">
        <v>46</v>
      </c>
      <c r="E19" s="1" t="s">
        <v>47</v>
      </c>
      <c r="F19" s="1" t="s">
        <v>38</v>
      </c>
      <c r="G19" s="1" t="s">
        <v>48</v>
      </c>
    </row>
    <row r="20" spans="4:7">
      <c r="D20" s="1" t="s">
        <v>49</v>
      </c>
      <c r="E20" s="1" t="s">
        <v>30</v>
      </c>
      <c r="F20" s="1" t="s">
        <v>50</v>
      </c>
      <c r="G20" s="1" t="s">
        <v>51</v>
      </c>
    </row>
  </sheetData>
  <mergeCells count="1">
    <mergeCell ref="A1:H1"/>
  </mergeCells>
  <phoneticPr fontId="7" type="noConversion"/>
  <conditionalFormatting sqref="E10">
    <cfRule type="expression" dxfId="7" priority="1">
      <formula>E10="GO"</formula>
    </cfRule>
    <cfRule type="expression" dxfId="6" priority="2">
      <formula>E10="NO GO"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zoomScaleNormal="100" workbookViewId="0">
      <selection activeCell="D72" sqref="D72"/>
    </sheetView>
  </sheetViews>
  <sheetFormatPr defaultRowHeight="14.25"/>
  <cols>
    <col min="1" max="1" width="7" customWidth="1"/>
    <col min="2" max="2" width="18" customWidth="1"/>
    <col min="3" max="3" width="20" customWidth="1"/>
    <col min="4" max="4" width="38" customWidth="1"/>
    <col min="5" max="5" width="24" customWidth="1"/>
    <col min="6" max="6" width="30" customWidth="1"/>
    <col min="7" max="7" width="42" customWidth="1"/>
    <col min="8" max="8" width="10" customWidth="1"/>
    <col min="9" max="9" width="18" customWidth="1"/>
    <col min="10" max="10" width="12" customWidth="1"/>
    <col min="11" max="11" width="36" customWidth="1"/>
    <col min="12" max="12" width="34" customWidth="1"/>
    <col min="13" max="14" width="14" customWidth="1"/>
  </cols>
  <sheetData>
    <row r="1" spans="1:14" ht="24" customHeight="1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14</v>
      </c>
      <c r="N1" s="11" t="s">
        <v>64</v>
      </c>
    </row>
    <row r="2" spans="1:14" ht="43.5">
      <c r="A2" s="1">
        <v>1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38</v>
      </c>
      <c r="I2" s="1" t="s">
        <v>71</v>
      </c>
      <c r="J2" s="1" t="s">
        <v>7</v>
      </c>
      <c r="K2" s="1" t="s">
        <v>72</v>
      </c>
      <c r="L2" s="1" t="s">
        <v>73</v>
      </c>
      <c r="M2" s="1" t="s">
        <v>74</v>
      </c>
      <c r="N2" s="1" t="s">
        <v>12</v>
      </c>
    </row>
    <row r="3" spans="1:14" ht="43.5">
      <c r="A3" s="1">
        <v>2</v>
      </c>
      <c r="B3" s="1" t="s">
        <v>65</v>
      </c>
      <c r="C3" s="1" t="s">
        <v>75</v>
      </c>
      <c r="D3" s="1" t="s">
        <v>76</v>
      </c>
      <c r="E3" s="1" t="s">
        <v>68</v>
      </c>
      <c r="F3" s="1" t="s">
        <v>77</v>
      </c>
      <c r="G3" s="1" t="s">
        <v>78</v>
      </c>
      <c r="H3" s="1" t="s">
        <v>50</v>
      </c>
      <c r="I3" s="1" t="s">
        <v>71</v>
      </c>
      <c r="J3" s="1" t="s">
        <v>7</v>
      </c>
      <c r="K3" s="1" t="s">
        <v>72</v>
      </c>
      <c r="L3" s="1" t="s">
        <v>73</v>
      </c>
      <c r="M3" s="1" t="s">
        <v>74</v>
      </c>
      <c r="N3" s="1" t="s">
        <v>12</v>
      </c>
    </row>
    <row r="4" spans="1:14" ht="43.5">
      <c r="A4" s="1">
        <v>3</v>
      </c>
      <c r="B4" s="1" t="s">
        <v>65</v>
      </c>
      <c r="C4" s="1" t="s">
        <v>79</v>
      </c>
      <c r="D4" s="1" t="s">
        <v>80</v>
      </c>
      <c r="E4" s="1" t="s">
        <v>68</v>
      </c>
      <c r="F4" s="1" t="s">
        <v>77</v>
      </c>
      <c r="G4" s="1" t="s">
        <v>78</v>
      </c>
      <c r="H4" s="1" t="s">
        <v>50</v>
      </c>
      <c r="I4" s="1" t="s">
        <v>71</v>
      </c>
      <c r="J4" s="1" t="s">
        <v>7</v>
      </c>
      <c r="K4" s="1" t="s">
        <v>72</v>
      </c>
      <c r="L4" s="1" t="s">
        <v>73</v>
      </c>
      <c r="M4" s="1" t="s">
        <v>74</v>
      </c>
      <c r="N4" s="1" t="s">
        <v>12</v>
      </c>
    </row>
    <row r="5" spans="1:14" ht="43.5">
      <c r="A5" s="1">
        <v>4</v>
      </c>
      <c r="B5" s="1" t="s">
        <v>65</v>
      </c>
      <c r="C5" s="1" t="s">
        <v>81</v>
      </c>
      <c r="D5" s="1" t="s">
        <v>82</v>
      </c>
      <c r="E5" s="1" t="s">
        <v>68</v>
      </c>
      <c r="F5" s="1" t="s">
        <v>83</v>
      </c>
      <c r="G5" s="1" t="s">
        <v>84</v>
      </c>
      <c r="H5" s="1" t="s">
        <v>50</v>
      </c>
      <c r="I5" s="1" t="s">
        <v>71</v>
      </c>
      <c r="J5" s="1" t="s">
        <v>7</v>
      </c>
      <c r="K5" s="1" t="s">
        <v>72</v>
      </c>
      <c r="L5" s="1" t="s">
        <v>73</v>
      </c>
      <c r="M5" s="1" t="s">
        <v>74</v>
      </c>
      <c r="N5" s="1" t="s">
        <v>12</v>
      </c>
    </row>
    <row r="6" spans="1:14" ht="43.5">
      <c r="A6" s="1">
        <v>5</v>
      </c>
      <c r="B6" s="1" t="s">
        <v>65</v>
      </c>
      <c r="C6" s="1" t="s">
        <v>85</v>
      </c>
      <c r="D6" s="1" t="s">
        <v>86</v>
      </c>
      <c r="E6" s="1" t="s">
        <v>68</v>
      </c>
      <c r="F6" s="1" t="s">
        <v>83</v>
      </c>
      <c r="G6" s="1" t="s">
        <v>87</v>
      </c>
      <c r="H6" s="1" t="s">
        <v>50</v>
      </c>
      <c r="I6" s="1" t="s">
        <v>71</v>
      </c>
      <c r="J6" s="1" t="s">
        <v>7</v>
      </c>
      <c r="K6" s="1" t="s">
        <v>72</v>
      </c>
      <c r="L6" s="1" t="s">
        <v>73</v>
      </c>
      <c r="M6" s="1" t="s">
        <v>74</v>
      </c>
      <c r="N6" s="1" t="s">
        <v>12</v>
      </c>
    </row>
    <row r="7" spans="1:14" ht="43.5">
      <c r="A7" s="1">
        <v>6</v>
      </c>
      <c r="B7" s="1" t="s">
        <v>65</v>
      </c>
      <c r="C7" s="1" t="s">
        <v>88</v>
      </c>
      <c r="D7" s="1" t="s">
        <v>89</v>
      </c>
      <c r="E7" s="1" t="s">
        <v>68</v>
      </c>
      <c r="F7" s="1" t="s">
        <v>83</v>
      </c>
      <c r="G7" s="1" t="s">
        <v>90</v>
      </c>
      <c r="H7" s="1" t="s">
        <v>50</v>
      </c>
      <c r="I7" s="1" t="s">
        <v>71</v>
      </c>
      <c r="J7" s="1" t="s">
        <v>7</v>
      </c>
      <c r="K7" s="1" t="s">
        <v>72</v>
      </c>
      <c r="L7" s="1" t="s">
        <v>73</v>
      </c>
      <c r="M7" s="1" t="s">
        <v>74</v>
      </c>
      <c r="N7" s="1" t="s">
        <v>12</v>
      </c>
    </row>
    <row r="8" spans="1:14" ht="43.5">
      <c r="A8" s="1">
        <v>7</v>
      </c>
      <c r="B8" s="1" t="s">
        <v>65</v>
      </c>
      <c r="C8" s="1" t="s">
        <v>91</v>
      </c>
      <c r="D8" s="1" t="s">
        <v>92</v>
      </c>
      <c r="E8" s="1" t="s">
        <v>68</v>
      </c>
      <c r="F8" s="1" t="s">
        <v>83</v>
      </c>
      <c r="G8" s="1" t="s">
        <v>93</v>
      </c>
      <c r="H8" s="1" t="s">
        <v>50</v>
      </c>
      <c r="I8" s="1" t="s">
        <v>71</v>
      </c>
      <c r="J8" s="1" t="s">
        <v>7</v>
      </c>
      <c r="K8" s="1" t="s">
        <v>72</v>
      </c>
      <c r="L8" s="1" t="s">
        <v>73</v>
      </c>
      <c r="M8" s="1" t="s">
        <v>74</v>
      </c>
      <c r="N8" s="1" t="s">
        <v>12</v>
      </c>
    </row>
    <row r="9" spans="1:14" ht="43.5">
      <c r="A9" s="1">
        <v>8</v>
      </c>
      <c r="B9" s="1" t="s">
        <v>65</v>
      </c>
      <c r="C9" s="1" t="s">
        <v>94</v>
      </c>
      <c r="D9" s="1" t="s">
        <v>95</v>
      </c>
      <c r="E9" s="1" t="s">
        <v>68</v>
      </c>
      <c r="F9" s="1" t="s">
        <v>83</v>
      </c>
      <c r="G9" s="1" t="s">
        <v>96</v>
      </c>
      <c r="H9" s="1" t="s">
        <v>50</v>
      </c>
      <c r="I9" s="1" t="s">
        <v>71</v>
      </c>
      <c r="J9" s="1" t="s">
        <v>7</v>
      </c>
      <c r="K9" s="1" t="s">
        <v>72</v>
      </c>
      <c r="L9" s="1" t="s">
        <v>73</v>
      </c>
      <c r="M9" s="1" t="s">
        <v>74</v>
      </c>
      <c r="N9" s="1" t="s">
        <v>12</v>
      </c>
    </row>
    <row r="10" spans="1:14" ht="43.5">
      <c r="A10" s="1">
        <v>9</v>
      </c>
      <c r="B10" s="1" t="s">
        <v>65</v>
      </c>
      <c r="C10" s="1" t="s">
        <v>97</v>
      </c>
      <c r="D10" s="1" t="s">
        <v>98</v>
      </c>
      <c r="E10" s="1" t="s">
        <v>68</v>
      </c>
      <c r="F10" s="1" t="s">
        <v>83</v>
      </c>
      <c r="G10" s="1" t="s">
        <v>99</v>
      </c>
      <c r="H10" s="1" t="s">
        <v>50</v>
      </c>
      <c r="I10" s="1" t="s">
        <v>71</v>
      </c>
      <c r="J10" s="1" t="s">
        <v>7</v>
      </c>
      <c r="K10" s="1" t="s">
        <v>72</v>
      </c>
      <c r="L10" s="1" t="s">
        <v>73</v>
      </c>
      <c r="M10" s="1" t="s">
        <v>74</v>
      </c>
      <c r="N10" s="1" t="s">
        <v>12</v>
      </c>
    </row>
    <row r="11" spans="1:14" ht="43.5">
      <c r="A11" s="1">
        <v>10</v>
      </c>
      <c r="B11" s="1" t="s">
        <v>65</v>
      </c>
      <c r="C11" s="1" t="s">
        <v>100</v>
      </c>
      <c r="D11" s="1" t="s">
        <v>101</v>
      </c>
      <c r="E11" s="1" t="s">
        <v>68</v>
      </c>
      <c r="F11" s="1" t="s">
        <v>83</v>
      </c>
      <c r="G11" s="1" t="s">
        <v>102</v>
      </c>
      <c r="H11" s="1" t="s">
        <v>50</v>
      </c>
      <c r="I11" s="1" t="s">
        <v>71</v>
      </c>
      <c r="J11" s="1" t="s">
        <v>7</v>
      </c>
      <c r="K11" s="1" t="s">
        <v>72</v>
      </c>
      <c r="L11" s="1" t="s">
        <v>73</v>
      </c>
      <c r="M11" s="1" t="s">
        <v>74</v>
      </c>
      <c r="N11" s="1" t="s">
        <v>12</v>
      </c>
    </row>
    <row r="12" spans="1:14" ht="43.5">
      <c r="A12" s="1">
        <v>11</v>
      </c>
      <c r="B12" s="1" t="s">
        <v>65</v>
      </c>
      <c r="C12" s="1" t="s">
        <v>103</v>
      </c>
      <c r="D12" s="1" t="s">
        <v>104</v>
      </c>
      <c r="E12" s="1" t="s">
        <v>68</v>
      </c>
      <c r="F12" s="1" t="s">
        <v>83</v>
      </c>
      <c r="G12" s="1" t="s">
        <v>105</v>
      </c>
      <c r="H12" s="1" t="s">
        <v>50</v>
      </c>
      <c r="I12" s="1" t="s">
        <v>71</v>
      </c>
      <c r="J12" s="1" t="s">
        <v>7</v>
      </c>
      <c r="K12" s="1" t="s">
        <v>72</v>
      </c>
      <c r="L12" s="1" t="s">
        <v>73</v>
      </c>
      <c r="M12" s="1" t="s">
        <v>74</v>
      </c>
      <c r="N12" s="1" t="s">
        <v>12</v>
      </c>
    </row>
    <row r="13" spans="1:14" ht="43.5">
      <c r="A13" s="1">
        <v>12</v>
      </c>
      <c r="B13" s="1" t="s">
        <v>65</v>
      </c>
      <c r="C13" s="1" t="s">
        <v>106</v>
      </c>
      <c r="D13" s="1" t="s">
        <v>107</v>
      </c>
      <c r="E13" s="1" t="s">
        <v>68</v>
      </c>
      <c r="F13" s="1" t="s">
        <v>83</v>
      </c>
      <c r="G13" s="1" t="s">
        <v>108</v>
      </c>
      <c r="H13" s="1" t="s">
        <v>50</v>
      </c>
      <c r="I13" s="1" t="s">
        <v>71</v>
      </c>
      <c r="J13" s="1" t="s">
        <v>7</v>
      </c>
      <c r="K13" s="1" t="s">
        <v>72</v>
      </c>
      <c r="L13" s="1" t="s">
        <v>73</v>
      </c>
      <c r="M13" s="1" t="s">
        <v>74</v>
      </c>
      <c r="N13" s="1" t="s">
        <v>12</v>
      </c>
    </row>
    <row r="14" spans="1:14" ht="43.5">
      <c r="A14" s="1">
        <v>13</v>
      </c>
      <c r="B14" s="1" t="s">
        <v>65</v>
      </c>
      <c r="C14" s="1" t="s">
        <v>109</v>
      </c>
      <c r="D14" s="1" t="s">
        <v>110</v>
      </c>
      <c r="E14" s="1" t="s">
        <v>68</v>
      </c>
      <c r="F14" s="1" t="s">
        <v>83</v>
      </c>
      <c r="G14" s="1" t="s">
        <v>111</v>
      </c>
      <c r="H14" s="1" t="s">
        <v>50</v>
      </c>
      <c r="I14" s="1" t="s">
        <v>71</v>
      </c>
      <c r="J14" s="1" t="s">
        <v>7</v>
      </c>
      <c r="K14" s="1" t="s">
        <v>72</v>
      </c>
      <c r="L14" s="1" t="s">
        <v>73</v>
      </c>
      <c r="M14" s="1" t="s">
        <v>74</v>
      </c>
      <c r="N14" s="1" t="s">
        <v>12</v>
      </c>
    </row>
    <row r="15" spans="1:14" ht="43.5">
      <c r="A15" s="1">
        <v>14</v>
      </c>
      <c r="B15" s="1" t="s">
        <v>65</v>
      </c>
      <c r="C15" s="1" t="s">
        <v>112</v>
      </c>
      <c r="D15" s="1" t="s">
        <v>113</v>
      </c>
      <c r="E15" s="1" t="s">
        <v>68</v>
      </c>
      <c r="F15" s="1" t="s">
        <v>83</v>
      </c>
      <c r="G15" s="1" t="s">
        <v>114</v>
      </c>
      <c r="H15" s="1" t="s">
        <v>50</v>
      </c>
      <c r="I15" s="1" t="s">
        <v>71</v>
      </c>
      <c r="J15" s="1" t="s">
        <v>7</v>
      </c>
      <c r="K15" s="1" t="s">
        <v>72</v>
      </c>
      <c r="L15" s="1" t="s">
        <v>73</v>
      </c>
      <c r="M15" s="1" t="s">
        <v>74</v>
      </c>
      <c r="N15" s="1" t="s">
        <v>12</v>
      </c>
    </row>
    <row r="16" spans="1:14" ht="43.5">
      <c r="A16" s="1">
        <v>15</v>
      </c>
      <c r="B16" s="1" t="s">
        <v>65</v>
      </c>
      <c r="C16" s="1" t="s">
        <v>115</v>
      </c>
      <c r="D16" s="1" t="s">
        <v>116</v>
      </c>
      <c r="E16" s="1" t="s">
        <v>68</v>
      </c>
      <c r="F16" s="1" t="s">
        <v>83</v>
      </c>
      <c r="G16" s="1" t="s">
        <v>117</v>
      </c>
      <c r="H16" s="1" t="s">
        <v>50</v>
      </c>
      <c r="I16" s="1" t="s">
        <v>71</v>
      </c>
      <c r="J16" s="1" t="s">
        <v>7</v>
      </c>
      <c r="K16" s="1" t="s">
        <v>72</v>
      </c>
      <c r="L16" s="1" t="s">
        <v>73</v>
      </c>
      <c r="M16" s="1" t="s">
        <v>74</v>
      </c>
      <c r="N16" s="1" t="s">
        <v>12</v>
      </c>
    </row>
    <row r="17" spans="1:14" ht="43.5">
      <c r="A17" s="1">
        <v>16</v>
      </c>
      <c r="B17" s="1" t="s">
        <v>118</v>
      </c>
      <c r="C17" s="1" t="s">
        <v>119</v>
      </c>
      <c r="D17" s="1" t="s">
        <v>120</v>
      </c>
      <c r="E17" s="1" t="s">
        <v>121</v>
      </c>
      <c r="F17" s="1" t="s">
        <v>122</v>
      </c>
      <c r="G17" s="1" t="s">
        <v>123</v>
      </c>
      <c r="H17" s="1" t="s">
        <v>38</v>
      </c>
      <c r="I17" s="1" t="s">
        <v>71</v>
      </c>
      <c r="J17" s="1" t="s">
        <v>7</v>
      </c>
      <c r="K17" s="1" t="s">
        <v>72</v>
      </c>
      <c r="L17" s="1" t="s">
        <v>73</v>
      </c>
      <c r="M17" s="1" t="s">
        <v>74</v>
      </c>
      <c r="N17" s="1" t="s">
        <v>12</v>
      </c>
    </row>
    <row r="18" spans="1:14" ht="43.5">
      <c r="A18" s="1">
        <v>17</v>
      </c>
      <c r="B18" s="1" t="s">
        <v>118</v>
      </c>
      <c r="C18" s="1" t="s">
        <v>119</v>
      </c>
      <c r="D18" s="1" t="s">
        <v>124</v>
      </c>
      <c r="E18" s="1" t="s">
        <v>121</v>
      </c>
      <c r="F18" s="1" t="s">
        <v>122</v>
      </c>
      <c r="G18" s="1" t="s">
        <v>125</v>
      </c>
      <c r="H18" s="1" t="s">
        <v>38</v>
      </c>
      <c r="I18" s="1" t="s">
        <v>71</v>
      </c>
      <c r="J18" s="1" t="s">
        <v>7</v>
      </c>
      <c r="K18" s="1" t="s">
        <v>72</v>
      </c>
      <c r="L18" s="1" t="s">
        <v>73</v>
      </c>
      <c r="M18" s="1" t="s">
        <v>74</v>
      </c>
      <c r="N18" s="1" t="s">
        <v>12</v>
      </c>
    </row>
    <row r="19" spans="1:14" ht="43.5">
      <c r="A19" s="1">
        <v>18</v>
      </c>
      <c r="B19" s="1" t="s">
        <v>118</v>
      </c>
      <c r="C19" s="1" t="s">
        <v>126</v>
      </c>
      <c r="D19" s="1" t="s">
        <v>127</v>
      </c>
      <c r="E19" s="1" t="s">
        <v>121</v>
      </c>
      <c r="F19" s="1" t="s">
        <v>122</v>
      </c>
      <c r="G19" s="1" t="s">
        <v>128</v>
      </c>
      <c r="H19" s="1" t="s">
        <v>38</v>
      </c>
      <c r="I19" s="1" t="s">
        <v>71</v>
      </c>
      <c r="J19" s="1" t="s">
        <v>7</v>
      </c>
      <c r="K19" s="1" t="s">
        <v>72</v>
      </c>
      <c r="L19" s="1" t="s">
        <v>73</v>
      </c>
      <c r="M19" s="1" t="s">
        <v>74</v>
      </c>
      <c r="N19" s="1" t="s">
        <v>12</v>
      </c>
    </row>
    <row r="20" spans="1:14" ht="43.5">
      <c r="A20" s="1">
        <v>19</v>
      </c>
      <c r="B20" s="1" t="s">
        <v>118</v>
      </c>
      <c r="C20" s="1" t="s">
        <v>129</v>
      </c>
      <c r="D20" s="1" t="s">
        <v>130</v>
      </c>
      <c r="E20" s="1" t="s">
        <v>121</v>
      </c>
      <c r="F20" s="1" t="s">
        <v>131</v>
      </c>
      <c r="G20" s="1" t="s">
        <v>132</v>
      </c>
      <c r="H20" s="1" t="s">
        <v>38</v>
      </c>
      <c r="I20" s="1" t="s">
        <v>71</v>
      </c>
      <c r="J20" s="1" t="s">
        <v>7</v>
      </c>
      <c r="K20" s="1" t="s">
        <v>72</v>
      </c>
      <c r="L20" s="1" t="s">
        <v>73</v>
      </c>
      <c r="M20" s="1" t="s">
        <v>74</v>
      </c>
      <c r="N20" s="1" t="s">
        <v>12</v>
      </c>
    </row>
    <row r="21" spans="1:14" ht="43.5">
      <c r="A21" s="1">
        <v>20</v>
      </c>
      <c r="B21" s="1" t="s">
        <v>118</v>
      </c>
      <c r="C21" s="1" t="s">
        <v>133</v>
      </c>
      <c r="D21" s="1" t="s">
        <v>134</v>
      </c>
      <c r="E21" s="1" t="s">
        <v>121</v>
      </c>
      <c r="F21" s="1" t="s">
        <v>131</v>
      </c>
      <c r="G21" s="1" t="s">
        <v>135</v>
      </c>
      <c r="H21" s="1" t="s">
        <v>38</v>
      </c>
      <c r="I21" s="1" t="s">
        <v>71</v>
      </c>
      <c r="J21" s="1" t="s">
        <v>7</v>
      </c>
      <c r="K21" s="1" t="s">
        <v>72</v>
      </c>
      <c r="L21" s="1" t="s">
        <v>73</v>
      </c>
      <c r="M21" s="1" t="s">
        <v>74</v>
      </c>
      <c r="N21" s="1" t="s">
        <v>12</v>
      </c>
    </row>
    <row r="22" spans="1:14" ht="43.5">
      <c r="A22" s="1">
        <v>21</v>
      </c>
      <c r="B22" s="1" t="s">
        <v>118</v>
      </c>
      <c r="C22" s="1" t="s">
        <v>136</v>
      </c>
      <c r="D22" s="1" t="s">
        <v>137</v>
      </c>
      <c r="E22" s="1" t="s">
        <v>121</v>
      </c>
      <c r="F22" s="1" t="s">
        <v>131</v>
      </c>
      <c r="G22" s="1" t="s">
        <v>128</v>
      </c>
      <c r="H22" s="1" t="s">
        <v>38</v>
      </c>
      <c r="I22" s="1" t="s">
        <v>71</v>
      </c>
      <c r="J22" s="1" t="s">
        <v>7</v>
      </c>
      <c r="K22" s="1" t="s">
        <v>72</v>
      </c>
      <c r="L22" s="1" t="s">
        <v>73</v>
      </c>
      <c r="M22" s="1" t="s">
        <v>74</v>
      </c>
      <c r="N22" s="1" t="s">
        <v>12</v>
      </c>
    </row>
    <row r="23" spans="1:14" ht="43.5">
      <c r="A23" s="1">
        <v>22</v>
      </c>
      <c r="B23" s="1" t="s">
        <v>118</v>
      </c>
      <c r="C23" s="1" t="s">
        <v>138</v>
      </c>
      <c r="D23" s="1" t="s">
        <v>139</v>
      </c>
      <c r="E23" s="1" t="s">
        <v>121</v>
      </c>
      <c r="F23" s="1" t="s">
        <v>122</v>
      </c>
      <c r="G23" s="1" t="s">
        <v>140</v>
      </c>
      <c r="H23" s="1" t="s">
        <v>50</v>
      </c>
      <c r="I23" s="1" t="s">
        <v>71</v>
      </c>
      <c r="J23" s="1" t="s">
        <v>7</v>
      </c>
      <c r="K23" s="1" t="s">
        <v>72</v>
      </c>
      <c r="L23" s="1" t="s">
        <v>73</v>
      </c>
      <c r="M23" s="1" t="s">
        <v>74</v>
      </c>
      <c r="N23" s="1" t="s">
        <v>12</v>
      </c>
    </row>
    <row r="24" spans="1:14" ht="43.5">
      <c r="A24" s="1">
        <v>23</v>
      </c>
      <c r="B24" s="1" t="s">
        <v>118</v>
      </c>
      <c r="C24" s="1" t="s">
        <v>141</v>
      </c>
      <c r="D24" s="1" t="s">
        <v>142</v>
      </c>
      <c r="E24" s="1" t="s">
        <v>121</v>
      </c>
      <c r="F24" s="1" t="s">
        <v>143</v>
      </c>
      <c r="G24" s="1" t="s">
        <v>144</v>
      </c>
      <c r="H24" s="1" t="s">
        <v>50</v>
      </c>
      <c r="I24" s="1" t="s">
        <v>71</v>
      </c>
      <c r="J24" s="1" t="s">
        <v>7</v>
      </c>
      <c r="K24" s="1" t="s">
        <v>72</v>
      </c>
      <c r="L24" s="1" t="s">
        <v>73</v>
      </c>
      <c r="M24" s="1" t="s">
        <v>74</v>
      </c>
      <c r="N24" s="1" t="s">
        <v>12</v>
      </c>
    </row>
    <row r="25" spans="1:14" ht="43.5">
      <c r="A25" s="1">
        <v>24</v>
      </c>
      <c r="B25" s="1" t="s">
        <v>118</v>
      </c>
      <c r="C25" s="1" t="s">
        <v>145</v>
      </c>
      <c r="D25" s="1" t="s">
        <v>146</v>
      </c>
      <c r="E25" s="1" t="s">
        <v>121</v>
      </c>
      <c r="F25" s="1" t="s">
        <v>122</v>
      </c>
      <c r="G25" s="1" t="s">
        <v>147</v>
      </c>
      <c r="H25" s="1" t="s">
        <v>38</v>
      </c>
      <c r="I25" s="1" t="s">
        <v>71</v>
      </c>
      <c r="J25" s="1" t="s">
        <v>7</v>
      </c>
      <c r="K25" s="1" t="s">
        <v>72</v>
      </c>
      <c r="L25" s="1" t="s">
        <v>73</v>
      </c>
      <c r="M25" s="1" t="s">
        <v>74</v>
      </c>
      <c r="N25" s="1" t="s">
        <v>12</v>
      </c>
    </row>
    <row r="26" spans="1:14" ht="43.5">
      <c r="A26" s="1">
        <v>25</v>
      </c>
      <c r="B26" s="1" t="s">
        <v>118</v>
      </c>
      <c r="C26" s="1" t="s">
        <v>148</v>
      </c>
      <c r="D26" s="1" t="s">
        <v>149</v>
      </c>
      <c r="E26" s="1" t="s">
        <v>121</v>
      </c>
      <c r="F26" s="1" t="s">
        <v>122</v>
      </c>
      <c r="G26" s="1" t="s">
        <v>150</v>
      </c>
      <c r="H26" s="1" t="s">
        <v>38</v>
      </c>
      <c r="I26" s="1" t="s">
        <v>71</v>
      </c>
      <c r="J26" s="1" t="s">
        <v>7</v>
      </c>
      <c r="K26" s="1" t="s">
        <v>72</v>
      </c>
      <c r="L26" s="1" t="s">
        <v>73</v>
      </c>
      <c r="M26" s="1" t="s">
        <v>74</v>
      </c>
      <c r="N26" s="1" t="s">
        <v>12</v>
      </c>
    </row>
    <row r="27" spans="1:14" ht="43.5">
      <c r="A27" s="1">
        <v>26</v>
      </c>
      <c r="B27" s="1" t="s">
        <v>118</v>
      </c>
      <c r="C27" s="1" t="s">
        <v>151</v>
      </c>
      <c r="D27" s="1" t="s">
        <v>152</v>
      </c>
      <c r="E27" s="1" t="s">
        <v>121</v>
      </c>
      <c r="F27" s="1" t="s">
        <v>153</v>
      </c>
      <c r="G27" s="1" t="s">
        <v>154</v>
      </c>
      <c r="H27" s="1" t="s">
        <v>38</v>
      </c>
      <c r="I27" s="1" t="s">
        <v>71</v>
      </c>
      <c r="J27" s="1" t="s">
        <v>7</v>
      </c>
      <c r="K27" s="1" t="s">
        <v>72</v>
      </c>
      <c r="L27" s="1" t="s">
        <v>73</v>
      </c>
      <c r="M27" s="1" t="s">
        <v>74</v>
      </c>
      <c r="N27" s="1" t="s">
        <v>12</v>
      </c>
    </row>
    <row r="28" spans="1:14" ht="43.5">
      <c r="A28" s="1">
        <v>27</v>
      </c>
      <c r="B28" s="1" t="s">
        <v>118</v>
      </c>
      <c r="C28" s="1" t="s">
        <v>155</v>
      </c>
      <c r="D28" s="1" t="s">
        <v>156</v>
      </c>
      <c r="E28" s="1" t="s">
        <v>157</v>
      </c>
      <c r="F28" s="1" t="s">
        <v>143</v>
      </c>
      <c r="G28" s="1" t="s">
        <v>158</v>
      </c>
      <c r="H28" s="1" t="s">
        <v>50</v>
      </c>
      <c r="I28" s="1" t="s">
        <v>71</v>
      </c>
      <c r="J28" s="1" t="s">
        <v>7</v>
      </c>
      <c r="K28" s="1" t="s">
        <v>159</v>
      </c>
      <c r="L28" s="1" t="s">
        <v>160</v>
      </c>
      <c r="M28" s="1" t="s">
        <v>74</v>
      </c>
      <c r="N28" s="1" t="s">
        <v>12</v>
      </c>
    </row>
    <row r="29" spans="1:14" ht="43.5">
      <c r="A29" s="1">
        <v>28</v>
      </c>
      <c r="B29" s="1" t="s">
        <v>118</v>
      </c>
      <c r="C29" s="1" t="s">
        <v>161</v>
      </c>
      <c r="D29" s="1" t="s">
        <v>162</v>
      </c>
      <c r="E29" s="1" t="s">
        <v>163</v>
      </c>
      <c r="F29" s="1" t="s">
        <v>153</v>
      </c>
      <c r="G29" s="1" t="s">
        <v>164</v>
      </c>
      <c r="H29" s="1" t="s">
        <v>50</v>
      </c>
      <c r="I29" s="1" t="s">
        <v>71</v>
      </c>
      <c r="J29" s="1" t="s">
        <v>7</v>
      </c>
      <c r="K29" s="1" t="s">
        <v>165</v>
      </c>
      <c r="L29" s="1" t="s">
        <v>160</v>
      </c>
      <c r="M29" s="1" t="s">
        <v>74</v>
      </c>
      <c r="N29" s="1" t="s">
        <v>12</v>
      </c>
    </row>
    <row r="30" spans="1:14" ht="43.5">
      <c r="A30" s="1">
        <v>29</v>
      </c>
      <c r="B30" s="1" t="s">
        <v>42</v>
      </c>
      <c r="C30" s="1" t="s">
        <v>166</v>
      </c>
      <c r="D30" s="1" t="s">
        <v>167</v>
      </c>
      <c r="E30" s="1" t="s">
        <v>168</v>
      </c>
      <c r="F30" s="1" t="s">
        <v>169</v>
      </c>
      <c r="G30" s="1" t="s">
        <v>170</v>
      </c>
      <c r="H30" s="1" t="s">
        <v>38</v>
      </c>
      <c r="I30" s="1" t="s">
        <v>71</v>
      </c>
      <c r="J30" s="1" t="s">
        <v>7</v>
      </c>
      <c r="K30" s="1" t="s">
        <v>171</v>
      </c>
      <c r="L30" s="1" t="s">
        <v>172</v>
      </c>
      <c r="M30" s="1" t="s">
        <v>74</v>
      </c>
      <c r="N30" s="1" t="s">
        <v>12</v>
      </c>
    </row>
    <row r="31" spans="1:14" ht="43.5">
      <c r="A31" s="1">
        <v>30</v>
      </c>
      <c r="B31" s="1" t="s">
        <v>42</v>
      </c>
      <c r="C31" s="1" t="s">
        <v>173</v>
      </c>
      <c r="D31" s="1" t="s">
        <v>174</v>
      </c>
      <c r="E31" s="1" t="s">
        <v>175</v>
      </c>
      <c r="F31" s="1" t="s">
        <v>169</v>
      </c>
      <c r="G31" s="1" t="s">
        <v>176</v>
      </c>
      <c r="H31" s="1" t="s">
        <v>38</v>
      </c>
      <c r="I31" s="1" t="s">
        <v>71</v>
      </c>
      <c r="J31" s="1" t="s">
        <v>7</v>
      </c>
      <c r="K31" s="1" t="s">
        <v>72</v>
      </c>
      <c r="L31" s="1" t="s">
        <v>73</v>
      </c>
      <c r="M31" s="1" t="s">
        <v>74</v>
      </c>
      <c r="N31" s="1" t="s">
        <v>12</v>
      </c>
    </row>
    <row r="32" spans="1:14" ht="43.5">
      <c r="A32" s="1">
        <v>31</v>
      </c>
      <c r="B32" s="1" t="s">
        <v>42</v>
      </c>
      <c r="C32" s="1" t="s">
        <v>177</v>
      </c>
      <c r="D32" s="1" t="s">
        <v>178</v>
      </c>
      <c r="E32" s="1" t="s">
        <v>179</v>
      </c>
      <c r="F32" s="1" t="s">
        <v>169</v>
      </c>
      <c r="G32" s="1" t="s">
        <v>180</v>
      </c>
      <c r="H32" s="1" t="s">
        <v>38</v>
      </c>
      <c r="I32" s="1" t="s">
        <v>71</v>
      </c>
      <c r="J32" s="1" t="s">
        <v>7</v>
      </c>
      <c r="K32" s="1" t="s">
        <v>72</v>
      </c>
      <c r="L32" s="1" t="s">
        <v>73</v>
      </c>
      <c r="M32" s="1" t="s">
        <v>74</v>
      </c>
      <c r="N32" s="1" t="s">
        <v>12</v>
      </c>
    </row>
    <row r="33" spans="1:14" ht="43.5">
      <c r="A33" s="1">
        <v>32</v>
      </c>
      <c r="B33" s="1" t="s">
        <v>42</v>
      </c>
      <c r="C33" s="1" t="s">
        <v>181</v>
      </c>
      <c r="D33" s="1" t="s">
        <v>182</v>
      </c>
      <c r="E33" s="1" t="s">
        <v>175</v>
      </c>
      <c r="F33" s="1" t="s">
        <v>169</v>
      </c>
      <c r="G33" s="1" t="s">
        <v>183</v>
      </c>
      <c r="H33" s="1" t="s">
        <v>38</v>
      </c>
      <c r="I33" s="1" t="s">
        <v>71</v>
      </c>
      <c r="J33" s="1" t="s">
        <v>7</v>
      </c>
      <c r="K33" s="1" t="s">
        <v>72</v>
      </c>
      <c r="L33" s="1" t="s">
        <v>73</v>
      </c>
      <c r="M33" s="1" t="s">
        <v>74</v>
      </c>
      <c r="N33" s="1" t="s">
        <v>12</v>
      </c>
    </row>
    <row r="34" spans="1:14" ht="43.5">
      <c r="A34" s="1">
        <v>33</v>
      </c>
      <c r="B34" s="1" t="s">
        <v>42</v>
      </c>
      <c r="C34" s="1" t="s">
        <v>184</v>
      </c>
      <c r="D34" s="1" t="s">
        <v>185</v>
      </c>
      <c r="E34" s="1" t="s">
        <v>186</v>
      </c>
      <c r="F34" s="1" t="s">
        <v>169</v>
      </c>
      <c r="G34" s="1" t="s">
        <v>187</v>
      </c>
      <c r="H34" s="1" t="s">
        <v>38</v>
      </c>
      <c r="I34" s="1" t="s">
        <v>71</v>
      </c>
      <c r="J34" s="1" t="s">
        <v>7</v>
      </c>
      <c r="K34" s="1" t="s">
        <v>72</v>
      </c>
      <c r="L34" s="1" t="s">
        <v>73</v>
      </c>
      <c r="M34" s="1" t="s">
        <v>74</v>
      </c>
      <c r="N34" s="1" t="s">
        <v>12</v>
      </c>
    </row>
    <row r="35" spans="1:14" ht="43.5">
      <c r="A35" s="1">
        <v>34</v>
      </c>
      <c r="B35" s="1" t="s">
        <v>42</v>
      </c>
      <c r="C35" s="1" t="s">
        <v>188</v>
      </c>
      <c r="D35" s="1" t="s">
        <v>189</v>
      </c>
      <c r="E35" s="1" t="s">
        <v>190</v>
      </c>
      <c r="F35" s="1" t="s">
        <v>169</v>
      </c>
      <c r="G35" s="1" t="s">
        <v>191</v>
      </c>
      <c r="H35" s="1" t="s">
        <v>38</v>
      </c>
      <c r="I35" s="1" t="s">
        <v>71</v>
      </c>
      <c r="J35" s="1" t="s">
        <v>7</v>
      </c>
      <c r="K35" s="1" t="s">
        <v>72</v>
      </c>
      <c r="L35" s="1" t="s">
        <v>73</v>
      </c>
      <c r="M35" s="1" t="s">
        <v>74</v>
      </c>
      <c r="N35" s="1" t="s">
        <v>12</v>
      </c>
    </row>
    <row r="36" spans="1:14" ht="43.5">
      <c r="A36" s="1">
        <v>35</v>
      </c>
      <c r="B36" s="1" t="s">
        <v>192</v>
      </c>
      <c r="C36" s="1" t="s">
        <v>193</v>
      </c>
      <c r="D36" s="1" t="s">
        <v>194</v>
      </c>
      <c r="E36" s="1" t="s">
        <v>68</v>
      </c>
      <c r="F36" s="1" t="s">
        <v>169</v>
      </c>
      <c r="G36" s="1" t="s">
        <v>195</v>
      </c>
      <c r="H36" s="1" t="s">
        <v>38</v>
      </c>
      <c r="I36" s="1" t="s">
        <v>71</v>
      </c>
      <c r="J36" s="1" t="s">
        <v>7</v>
      </c>
      <c r="K36" s="1" t="s">
        <v>72</v>
      </c>
      <c r="L36" s="1" t="s">
        <v>73</v>
      </c>
      <c r="M36" s="1" t="s">
        <v>74</v>
      </c>
      <c r="N36" s="1" t="s">
        <v>12</v>
      </c>
    </row>
    <row r="37" spans="1:14" ht="43.5">
      <c r="A37" s="1">
        <v>36</v>
      </c>
      <c r="B37" s="1" t="s">
        <v>192</v>
      </c>
      <c r="C37" s="1" t="s">
        <v>196</v>
      </c>
      <c r="D37" s="1" t="s">
        <v>197</v>
      </c>
      <c r="E37" s="1" t="s">
        <v>198</v>
      </c>
      <c r="F37" s="1" t="s">
        <v>199</v>
      </c>
      <c r="G37" s="1" t="s">
        <v>200</v>
      </c>
      <c r="H37" s="1" t="s">
        <v>38</v>
      </c>
      <c r="I37" s="1" t="s">
        <v>71</v>
      </c>
      <c r="J37" s="1" t="s">
        <v>7</v>
      </c>
      <c r="K37" s="1" t="s">
        <v>72</v>
      </c>
      <c r="L37" s="1" t="s">
        <v>73</v>
      </c>
      <c r="M37" s="1" t="s">
        <v>74</v>
      </c>
      <c r="N37" s="1" t="s">
        <v>12</v>
      </c>
    </row>
    <row r="38" spans="1:14" ht="43.5">
      <c r="A38" s="1">
        <v>37</v>
      </c>
      <c r="B38" s="1" t="s">
        <v>192</v>
      </c>
      <c r="C38" s="1" t="s">
        <v>201</v>
      </c>
      <c r="D38" s="1" t="s">
        <v>202</v>
      </c>
      <c r="E38" s="1" t="s">
        <v>68</v>
      </c>
      <c r="F38" s="1" t="s">
        <v>169</v>
      </c>
      <c r="G38" s="1" t="s">
        <v>203</v>
      </c>
      <c r="H38" s="1" t="s">
        <v>38</v>
      </c>
      <c r="I38" s="1" t="s">
        <v>71</v>
      </c>
      <c r="J38" s="1" t="s">
        <v>7</v>
      </c>
      <c r="K38" s="1" t="s">
        <v>72</v>
      </c>
      <c r="L38" s="1" t="s">
        <v>73</v>
      </c>
      <c r="M38" s="1" t="s">
        <v>74</v>
      </c>
      <c r="N38" s="1" t="s">
        <v>12</v>
      </c>
    </row>
    <row r="39" spans="1:14" ht="43.5">
      <c r="A39" s="1">
        <v>38</v>
      </c>
      <c r="B39" s="1" t="s">
        <v>192</v>
      </c>
      <c r="C39" s="1" t="s">
        <v>204</v>
      </c>
      <c r="D39" s="1" t="s">
        <v>205</v>
      </c>
      <c r="E39" s="1" t="s">
        <v>68</v>
      </c>
      <c r="F39" s="1" t="s">
        <v>169</v>
      </c>
      <c r="G39" s="1" t="s">
        <v>206</v>
      </c>
      <c r="H39" s="1" t="s">
        <v>50</v>
      </c>
      <c r="I39" s="1" t="s">
        <v>71</v>
      </c>
      <c r="J39" s="1" t="s">
        <v>7</v>
      </c>
      <c r="K39" s="1" t="s">
        <v>72</v>
      </c>
      <c r="L39" s="1" t="s">
        <v>73</v>
      </c>
      <c r="M39" s="1" t="s">
        <v>74</v>
      </c>
      <c r="N39" s="1" t="s">
        <v>12</v>
      </c>
    </row>
    <row r="40" spans="1:14" ht="43.5">
      <c r="A40" s="1">
        <v>39</v>
      </c>
      <c r="B40" s="1" t="s">
        <v>192</v>
      </c>
      <c r="C40" s="1" t="s">
        <v>207</v>
      </c>
      <c r="D40" s="1" t="s">
        <v>208</v>
      </c>
      <c r="E40" s="1" t="s">
        <v>68</v>
      </c>
      <c r="F40" s="1" t="s">
        <v>169</v>
      </c>
      <c r="G40" s="1" t="s">
        <v>209</v>
      </c>
      <c r="H40" s="1" t="s">
        <v>50</v>
      </c>
      <c r="I40" s="1" t="s">
        <v>71</v>
      </c>
      <c r="J40" s="1" t="s">
        <v>7</v>
      </c>
      <c r="K40" s="1" t="s">
        <v>72</v>
      </c>
      <c r="L40" s="1" t="s">
        <v>73</v>
      </c>
      <c r="M40" s="1" t="s">
        <v>74</v>
      </c>
      <c r="N40" s="1" t="s">
        <v>12</v>
      </c>
    </row>
    <row r="41" spans="1:14" ht="43.5">
      <c r="A41" s="1">
        <v>40</v>
      </c>
      <c r="B41" s="1" t="s">
        <v>192</v>
      </c>
      <c r="C41" s="1" t="s">
        <v>210</v>
      </c>
      <c r="D41" s="1" t="s">
        <v>211</v>
      </c>
      <c r="E41" s="1" t="s">
        <v>68</v>
      </c>
      <c r="F41" s="1" t="s">
        <v>169</v>
      </c>
      <c r="G41" s="1" t="s">
        <v>212</v>
      </c>
      <c r="H41" s="1" t="s">
        <v>50</v>
      </c>
      <c r="I41" s="1" t="s">
        <v>71</v>
      </c>
      <c r="J41" s="1" t="s">
        <v>7</v>
      </c>
      <c r="K41" s="1" t="s">
        <v>72</v>
      </c>
      <c r="L41" s="1" t="s">
        <v>73</v>
      </c>
      <c r="M41" s="1" t="s">
        <v>74</v>
      </c>
      <c r="N41" s="1" t="s">
        <v>12</v>
      </c>
    </row>
    <row r="42" spans="1:14" ht="43.5">
      <c r="A42" s="1">
        <v>41</v>
      </c>
      <c r="B42" s="1" t="s">
        <v>192</v>
      </c>
      <c r="C42" s="1" t="s">
        <v>213</v>
      </c>
      <c r="D42" s="1" t="s">
        <v>214</v>
      </c>
      <c r="E42" s="1" t="s">
        <v>68</v>
      </c>
      <c r="F42" s="1" t="s">
        <v>169</v>
      </c>
      <c r="G42" s="1" t="s">
        <v>215</v>
      </c>
      <c r="H42" s="1" t="s">
        <v>50</v>
      </c>
      <c r="I42" s="1" t="s">
        <v>71</v>
      </c>
      <c r="J42" s="1" t="s">
        <v>7</v>
      </c>
      <c r="K42" s="1" t="s">
        <v>72</v>
      </c>
      <c r="L42" s="1" t="s">
        <v>73</v>
      </c>
      <c r="M42" s="1" t="s">
        <v>74</v>
      </c>
      <c r="N42" s="1" t="s">
        <v>12</v>
      </c>
    </row>
    <row r="43" spans="1:14" ht="43.5">
      <c r="A43" s="1">
        <v>42</v>
      </c>
      <c r="B43" s="1" t="s">
        <v>192</v>
      </c>
      <c r="C43" s="1" t="s">
        <v>216</v>
      </c>
      <c r="D43" s="1" t="s">
        <v>217</v>
      </c>
      <c r="E43" s="1" t="s">
        <v>68</v>
      </c>
      <c r="F43" s="1" t="s">
        <v>169</v>
      </c>
      <c r="G43" s="1" t="s">
        <v>218</v>
      </c>
      <c r="H43" s="1" t="s">
        <v>50</v>
      </c>
      <c r="I43" s="1" t="s">
        <v>71</v>
      </c>
      <c r="J43" s="1" t="s">
        <v>7</v>
      </c>
      <c r="K43" s="1" t="s">
        <v>72</v>
      </c>
      <c r="L43" s="1" t="s">
        <v>73</v>
      </c>
      <c r="M43" s="1" t="s">
        <v>74</v>
      </c>
      <c r="N43" s="1" t="s">
        <v>12</v>
      </c>
    </row>
    <row r="44" spans="1:14" ht="43.5">
      <c r="A44" s="1">
        <v>43</v>
      </c>
      <c r="B44" s="1" t="s">
        <v>219</v>
      </c>
      <c r="C44" s="1" t="s">
        <v>220</v>
      </c>
      <c r="D44" s="1" t="s">
        <v>221</v>
      </c>
      <c r="E44" s="1" t="s">
        <v>68</v>
      </c>
      <c r="F44" s="1" t="s">
        <v>222</v>
      </c>
      <c r="G44" s="1" t="s">
        <v>223</v>
      </c>
      <c r="H44" s="1" t="s">
        <v>50</v>
      </c>
      <c r="I44" s="1" t="s">
        <v>71</v>
      </c>
      <c r="J44" s="1" t="s">
        <v>7</v>
      </c>
      <c r="K44" s="1" t="s">
        <v>72</v>
      </c>
      <c r="L44" s="1" t="s">
        <v>73</v>
      </c>
      <c r="M44" s="1" t="s">
        <v>74</v>
      </c>
      <c r="N44" s="1" t="s">
        <v>12</v>
      </c>
    </row>
    <row r="45" spans="1:14" ht="43.5">
      <c r="A45" s="1">
        <v>44</v>
      </c>
      <c r="B45" s="1" t="s">
        <v>219</v>
      </c>
      <c r="C45" s="1" t="s">
        <v>224</v>
      </c>
      <c r="D45" s="1" t="s">
        <v>225</v>
      </c>
      <c r="E45" s="1" t="s">
        <v>68</v>
      </c>
      <c r="F45" s="1" t="s">
        <v>222</v>
      </c>
      <c r="G45" s="1" t="s">
        <v>226</v>
      </c>
      <c r="H45" s="1" t="s">
        <v>50</v>
      </c>
      <c r="I45" s="1" t="s">
        <v>71</v>
      </c>
      <c r="J45" s="1" t="s">
        <v>7</v>
      </c>
      <c r="K45" s="1" t="s">
        <v>72</v>
      </c>
      <c r="L45" s="1" t="s">
        <v>73</v>
      </c>
      <c r="M45" s="1" t="s">
        <v>74</v>
      </c>
      <c r="N45" s="1" t="s">
        <v>12</v>
      </c>
    </row>
    <row r="46" spans="1:14" ht="43.5">
      <c r="A46" s="1">
        <v>45</v>
      </c>
      <c r="B46" s="1" t="s">
        <v>219</v>
      </c>
      <c r="C46" s="1" t="s">
        <v>227</v>
      </c>
      <c r="D46" s="1" t="s">
        <v>228</v>
      </c>
      <c r="E46" s="1" t="s">
        <v>68</v>
      </c>
      <c r="F46" s="1" t="s">
        <v>222</v>
      </c>
      <c r="G46" s="1" t="s">
        <v>229</v>
      </c>
      <c r="H46" s="1" t="s">
        <v>50</v>
      </c>
      <c r="I46" s="1" t="s">
        <v>71</v>
      </c>
      <c r="J46" s="1" t="s">
        <v>7</v>
      </c>
      <c r="K46" s="1" t="s">
        <v>72</v>
      </c>
      <c r="L46" s="1" t="s">
        <v>73</v>
      </c>
      <c r="M46" s="1" t="s">
        <v>74</v>
      </c>
      <c r="N46" s="1" t="s">
        <v>12</v>
      </c>
    </row>
    <row r="47" spans="1:14" ht="43.5">
      <c r="A47" s="1">
        <v>46</v>
      </c>
      <c r="B47" s="1" t="s">
        <v>230</v>
      </c>
      <c r="C47" s="1" t="s">
        <v>231</v>
      </c>
      <c r="D47" s="1" t="s">
        <v>232</v>
      </c>
      <c r="E47" s="1" t="s">
        <v>68</v>
      </c>
      <c r="F47" s="1" t="s">
        <v>222</v>
      </c>
      <c r="G47" s="1" t="s">
        <v>233</v>
      </c>
      <c r="H47" s="1" t="s">
        <v>38</v>
      </c>
      <c r="I47" s="1" t="s">
        <v>71</v>
      </c>
      <c r="J47" s="1" t="s">
        <v>7</v>
      </c>
      <c r="K47" s="1" t="s">
        <v>72</v>
      </c>
      <c r="L47" s="1" t="s">
        <v>73</v>
      </c>
      <c r="M47" s="1" t="s">
        <v>74</v>
      </c>
      <c r="N47" s="1" t="s">
        <v>12</v>
      </c>
    </row>
    <row r="48" spans="1:14" ht="43.5">
      <c r="A48" s="1">
        <v>47</v>
      </c>
      <c r="B48" s="1" t="s">
        <v>230</v>
      </c>
      <c r="C48" s="1" t="s">
        <v>234</v>
      </c>
      <c r="D48" s="1" t="s">
        <v>235</v>
      </c>
      <c r="E48" s="1" t="s">
        <v>68</v>
      </c>
      <c r="F48" s="1" t="s">
        <v>222</v>
      </c>
      <c r="G48" s="1" t="s">
        <v>236</v>
      </c>
      <c r="H48" s="1" t="s">
        <v>50</v>
      </c>
      <c r="I48" s="1" t="s">
        <v>71</v>
      </c>
      <c r="J48" s="1" t="s">
        <v>7</v>
      </c>
      <c r="K48" s="1" t="s">
        <v>72</v>
      </c>
      <c r="L48" s="1" t="s">
        <v>73</v>
      </c>
      <c r="M48" s="1" t="s">
        <v>74</v>
      </c>
      <c r="N48" s="1" t="s">
        <v>12</v>
      </c>
    </row>
    <row r="49" spans="1:14" ht="43.5">
      <c r="A49" s="1">
        <v>48</v>
      </c>
      <c r="B49" s="1" t="s">
        <v>230</v>
      </c>
      <c r="C49" s="1" t="s">
        <v>237</v>
      </c>
      <c r="D49" s="1" t="s">
        <v>238</v>
      </c>
      <c r="E49" s="1" t="s">
        <v>68</v>
      </c>
      <c r="F49" s="1" t="s">
        <v>222</v>
      </c>
      <c r="G49" s="1" t="s">
        <v>236</v>
      </c>
      <c r="H49" s="1" t="s">
        <v>50</v>
      </c>
      <c r="I49" s="1" t="s">
        <v>71</v>
      </c>
      <c r="J49" s="1" t="s">
        <v>7</v>
      </c>
      <c r="K49" s="1" t="s">
        <v>72</v>
      </c>
      <c r="L49" s="1" t="s">
        <v>73</v>
      </c>
      <c r="M49" s="1" t="s">
        <v>74</v>
      </c>
      <c r="N49" s="1" t="s">
        <v>12</v>
      </c>
    </row>
    <row r="50" spans="1:14" ht="43.5">
      <c r="A50" s="1">
        <v>49</v>
      </c>
      <c r="B50" s="1" t="s">
        <v>230</v>
      </c>
      <c r="C50" s="1" t="s">
        <v>239</v>
      </c>
      <c r="D50" s="1" t="s">
        <v>240</v>
      </c>
      <c r="E50" s="1" t="s">
        <v>68</v>
      </c>
      <c r="F50" s="1" t="s">
        <v>222</v>
      </c>
      <c r="G50" s="1" t="s">
        <v>241</v>
      </c>
      <c r="H50" s="1" t="s">
        <v>38</v>
      </c>
      <c r="I50" s="1" t="s">
        <v>71</v>
      </c>
      <c r="J50" s="1" t="s">
        <v>7</v>
      </c>
      <c r="K50" s="1" t="s">
        <v>72</v>
      </c>
      <c r="L50" s="1" t="s">
        <v>73</v>
      </c>
      <c r="M50" s="1" t="s">
        <v>74</v>
      </c>
      <c r="N50" s="1" t="s">
        <v>12</v>
      </c>
    </row>
    <row r="51" spans="1:14" ht="43.5">
      <c r="A51" s="1">
        <v>50</v>
      </c>
      <c r="B51" s="1" t="s">
        <v>219</v>
      </c>
      <c r="C51" s="1" t="s">
        <v>242</v>
      </c>
      <c r="D51" s="1" t="s">
        <v>243</v>
      </c>
      <c r="E51" s="1" t="s">
        <v>68</v>
      </c>
      <c r="F51" s="1" t="s">
        <v>222</v>
      </c>
      <c r="G51" s="1" t="s">
        <v>244</v>
      </c>
      <c r="H51" s="1" t="s">
        <v>50</v>
      </c>
      <c r="I51" s="1" t="s">
        <v>71</v>
      </c>
      <c r="J51" s="1" t="s">
        <v>7</v>
      </c>
      <c r="K51" s="1" t="s">
        <v>72</v>
      </c>
      <c r="L51" s="1" t="s">
        <v>73</v>
      </c>
      <c r="M51" s="1" t="s">
        <v>74</v>
      </c>
      <c r="N51" s="1" t="s">
        <v>12</v>
      </c>
    </row>
    <row r="52" spans="1:14" ht="43.5">
      <c r="A52" s="1">
        <v>51</v>
      </c>
      <c r="B52" s="1" t="s">
        <v>219</v>
      </c>
      <c r="C52" s="1" t="s">
        <v>245</v>
      </c>
      <c r="D52" s="1" t="s">
        <v>246</v>
      </c>
      <c r="E52" s="1" t="s">
        <v>68</v>
      </c>
      <c r="F52" s="1" t="s">
        <v>222</v>
      </c>
      <c r="G52" s="1" t="s">
        <v>229</v>
      </c>
      <c r="H52" s="1" t="s">
        <v>50</v>
      </c>
      <c r="I52" s="1" t="s">
        <v>71</v>
      </c>
      <c r="J52" s="1" t="s">
        <v>7</v>
      </c>
      <c r="K52" s="1" t="s">
        <v>247</v>
      </c>
      <c r="L52" s="1" t="s">
        <v>248</v>
      </c>
      <c r="M52" s="1" t="s">
        <v>74</v>
      </c>
      <c r="N52" s="1" t="s">
        <v>12</v>
      </c>
    </row>
    <row r="53" spans="1:14" ht="29.25">
      <c r="A53" s="1">
        <v>52</v>
      </c>
      <c r="B53" s="1" t="s">
        <v>219</v>
      </c>
      <c r="C53" s="1" t="s">
        <v>249</v>
      </c>
      <c r="D53" s="1" t="s">
        <v>250</v>
      </c>
      <c r="E53" s="1" t="s">
        <v>68</v>
      </c>
      <c r="F53" s="1" t="s">
        <v>222</v>
      </c>
      <c r="G53" s="1" t="s">
        <v>251</v>
      </c>
      <c r="H53" s="1" t="s">
        <v>50</v>
      </c>
      <c r="I53" s="1" t="s">
        <v>71</v>
      </c>
      <c r="J53" s="1" t="s">
        <v>7</v>
      </c>
      <c r="K53" s="1" t="s">
        <v>252</v>
      </c>
      <c r="L53" s="1" t="s">
        <v>248</v>
      </c>
      <c r="M53" s="1" t="s">
        <v>74</v>
      </c>
      <c r="N53" s="1" t="s">
        <v>12</v>
      </c>
    </row>
    <row r="54" spans="1:14" ht="43.5">
      <c r="A54" s="1">
        <v>53</v>
      </c>
      <c r="B54" s="1" t="s">
        <v>230</v>
      </c>
      <c r="C54" s="1" t="s">
        <v>253</v>
      </c>
      <c r="D54" s="1" t="s">
        <v>254</v>
      </c>
      <c r="E54" s="1" t="s">
        <v>68</v>
      </c>
      <c r="F54" s="1" t="s">
        <v>222</v>
      </c>
      <c r="G54" s="1" t="s">
        <v>255</v>
      </c>
      <c r="H54" s="1" t="s">
        <v>50</v>
      </c>
      <c r="I54" s="1" t="s">
        <v>71</v>
      </c>
      <c r="J54" s="1" t="s">
        <v>7</v>
      </c>
      <c r="K54" s="1" t="s">
        <v>72</v>
      </c>
      <c r="L54" s="1" t="s">
        <v>73</v>
      </c>
      <c r="M54" s="1" t="s">
        <v>74</v>
      </c>
      <c r="N54" s="1" t="s">
        <v>12</v>
      </c>
    </row>
    <row r="55" spans="1:14" ht="43.5">
      <c r="A55" s="1">
        <v>54</v>
      </c>
      <c r="B55" s="1" t="s">
        <v>219</v>
      </c>
      <c r="C55" s="1" t="s">
        <v>256</v>
      </c>
      <c r="D55" s="1" t="s">
        <v>257</v>
      </c>
      <c r="E55" s="1" t="s">
        <v>68</v>
      </c>
      <c r="F55" s="1" t="s">
        <v>169</v>
      </c>
      <c r="G55" s="1" t="s">
        <v>258</v>
      </c>
      <c r="H55" s="1" t="s">
        <v>50</v>
      </c>
      <c r="I55" s="1" t="s">
        <v>71</v>
      </c>
      <c r="J55" s="1" t="s">
        <v>7</v>
      </c>
      <c r="K55" s="1" t="s">
        <v>72</v>
      </c>
      <c r="L55" s="1" t="s">
        <v>73</v>
      </c>
      <c r="M55" s="1" t="s">
        <v>74</v>
      </c>
      <c r="N55" s="1" t="s">
        <v>12</v>
      </c>
    </row>
    <row r="56" spans="1:14" ht="43.5">
      <c r="A56" s="1">
        <v>55</v>
      </c>
      <c r="B56" s="1" t="s">
        <v>219</v>
      </c>
      <c r="C56" s="1" t="s">
        <v>259</v>
      </c>
      <c r="D56" s="1" t="s">
        <v>260</v>
      </c>
      <c r="E56" s="1" t="s">
        <v>68</v>
      </c>
      <c r="F56" s="1" t="s">
        <v>169</v>
      </c>
      <c r="G56" s="1" t="s">
        <v>261</v>
      </c>
      <c r="H56" s="1" t="s">
        <v>50</v>
      </c>
      <c r="I56" s="1" t="s">
        <v>71</v>
      </c>
      <c r="J56" s="1" t="s">
        <v>7</v>
      </c>
      <c r="K56" s="1" t="s">
        <v>72</v>
      </c>
      <c r="L56" s="1" t="s">
        <v>73</v>
      </c>
      <c r="M56" s="1" t="s">
        <v>74</v>
      </c>
      <c r="N56" s="1" t="s">
        <v>12</v>
      </c>
    </row>
    <row r="57" spans="1:14" ht="43.5">
      <c r="A57" s="1">
        <v>56</v>
      </c>
      <c r="B57" s="1" t="s">
        <v>262</v>
      </c>
      <c r="C57" s="1" t="s">
        <v>263</v>
      </c>
      <c r="D57" s="22" t="s">
        <v>511</v>
      </c>
      <c r="E57" s="1" t="s">
        <v>68</v>
      </c>
      <c r="F57" s="1" t="s">
        <v>264</v>
      </c>
      <c r="G57" s="1" t="s">
        <v>265</v>
      </c>
      <c r="H57" s="1" t="s">
        <v>38</v>
      </c>
      <c r="I57" s="1" t="s">
        <v>71</v>
      </c>
      <c r="J57" s="1" t="s">
        <v>7</v>
      </c>
      <c r="K57" s="1" t="s">
        <v>72</v>
      </c>
      <c r="L57" s="1" t="s">
        <v>73</v>
      </c>
      <c r="M57" s="1" t="s">
        <v>74</v>
      </c>
      <c r="N57" s="1" t="s">
        <v>12</v>
      </c>
    </row>
    <row r="58" spans="1:14" ht="43.5">
      <c r="A58" s="1">
        <v>57</v>
      </c>
      <c r="B58" s="1" t="s">
        <v>262</v>
      </c>
      <c r="C58" s="1" t="s">
        <v>266</v>
      </c>
      <c r="D58" s="1" t="s">
        <v>267</v>
      </c>
      <c r="E58" s="1" t="s">
        <v>68</v>
      </c>
      <c r="F58" s="1" t="s">
        <v>264</v>
      </c>
      <c r="G58" s="1" t="s">
        <v>268</v>
      </c>
      <c r="H58" s="1" t="s">
        <v>38</v>
      </c>
      <c r="I58" s="1" t="s">
        <v>71</v>
      </c>
      <c r="J58" s="1" t="s">
        <v>7</v>
      </c>
      <c r="K58" s="1" t="s">
        <v>72</v>
      </c>
      <c r="L58" s="1" t="s">
        <v>73</v>
      </c>
      <c r="M58" s="1" t="s">
        <v>74</v>
      </c>
      <c r="N58" s="1" t="s">
        <v>12</v>
      </c>
    </row>
    <row r="59" spans="1:14" ht="43.5">
      <c r="A59" s="1">
        <v>58</v>
      </c>
      <c r="B59" s="1" t="s">
        <v>262</v>
      </c>
      <c r="C59" s="1" t="s">
        <v>269</v>
      </c>
      <c r="D59" s="22" t="s">
        <v>512</v>
      </c>
      <c r="E59" s="1" t="s">
        <v>68</v>
      </c>
      <c r="F59" s="1" t="s">
        <v>270</v>
      </c>
      <c r="G59" s="1" t="s">
        <v>271</v>
      </c>
      <c r="H59" s="1" t="s">
        <v>50</v>
      </c>
      <c r="I59" s="1" t="s">
        <v>71</v>
      </c>
      <c r="J59" s="1" t="s">
        <v>7</v>
      </c>
      <c r="K59" s="1" t="s">
        <v>72</v>
      </c>
      <c r="L59" s="1" t="s">
        <v>73</v>
      </c>
      <c r="M59" s="1" t="s">
        <v>74</v>
      </c>
      <c r="N59" s="1" t="s">
        <v>12</v>
      </c>
    </row>
    <row r="60" spans="1:14" ht="43.5">
      <c r="A60" s="1">
        <v>59</v>
      </c>
      <c r="B60" s="1" t="s">
        <v>262</v>
      </c>
      <c r="C60" s="1" t="s">
        <v>272</v>
      </c>
      <c r="D60" s="1" t="s">
        <v>273</v>
      </c>
      <c r="E60" s="1" t="s">
        <v>68</v>
      </c>
      <c r="F60" s="1" t="s">
        <v>270</v>
      </c>
      <c r="G60" s="1" t="s">
        <v>274</v>
      </c>
      <c r="H60" s="1" t="s">
        <v>50</v>
      </c>
      <c r="I60" s="1" t="s">
        <v>71</v>
      </c>
      <c r="J60" s="1" t="s">
        <v>7</v>
      </c>
      <c r="K60" s="1" t="s">
        <v>72</v>
      </c>
      <c r="L60" s="1" t="s">
        <v>73</v>
      </c>
      <c r="M60" s="1" t="s">
        <v>74</v>
      </c>
      <c r="N60" s="1" t="s">
        <v>12</v>
      </c>
    </row>
    <row r="61" spans="1:14" ht="43.5">
      <c r="A61" s="1">
        <v>60</v>
      </c>
      <c r="B61" s="1" t="s">
        <v>262</v>
      </c>
      <c r="C61" s="1" t="s">
        <v>275</v>
      </c>
      <c r="D61" s="1" t="s">
        <v>276</v>
      </c>
      <c r="E61" s="1" t="s">
        <v>68</v>
      </c>
      <c r="F61" s="1" t="s">
        <v>270</v>
      </c>
      <c r="G61" s="1" t="s">
        <v>277</v>
      </c>
      <c r="H61" s="1" t="s">
        <v>50</v>
      </c>
      <c r="I61" s="1" t="s">
        <v>71</v>
      </c>
      <c r="J61" s="1" t="s">
        <v>7</v>
      </c>
      <c r="K61" s="1" t="s">
        <v>72</v>
      </c>
      <c r="L61" s="1" t="s">
        <v>73</v>
      </c>
      <c r="M61" s="1" t="s">
        <v>74</v>
      </c>
      <c r="N61" s="1" t="s">
        <v>12</v>
      </c>
    </row>
    <row r="62" spans="1:14" ht="43.5">
      <c r="A62" s="1">
        <v>61</v>
      </c>
      <c r="B62" s="1" t="s">
        <v>262</v>
      </c>
      <c r="C62" s="1" t="s">
        <v>278</v>
      </c>
      <c r="D62" s="1" t="s">
        <v>279</v>
      </c>
      <c r="E62" s="1" t="s">
        <v>68</v>
      </c>
      <c r="F62" s="1" t="s">
        <v>270</v>
      </c>
      <c r="G62" s="1" t="s">
        <v>280</v>
      </c>
      <c r="H62" s="1" t="s">
        <v>50</v>
      </c>
      <c r="I62" s="1" t="s">
        <v>71</v>
      </c>
      <c r="J62" s="1" t="s">
        <v>7</v>
      </c>
      <c r="K62" s="1" t="s">
        <v>72</v>
      </c>
      <c r="L62" s="1" t="s">
        <v>73</v>
      </c>
      <c r="M62" s="1" t="s">
        <v>74</v>
      </c>
      <c r="N62" s="1" t="s">
        <v>12</v>
      </c>
    </row>
    <row r="63" spans="1:14" ht="43.5">
      <c r="A63" s="1">
        <v>62</v>
      </c>
      <c r="B63" s="1" t="s">
        <v>262</v>
      </c>
      <c r="C63" s="1" t="s">
        <v>281</v>
      </c>
      <c r="D63" s="1" t="s">
        <v>282</v>
      </c>
      <c r="E63" s="1" t="s">
        <v>68</v>
      </c>
      <c r="F63" s="1" t="s">
        <v>270</v>
      </c>
      <c r="G63" s="1" t="s">
        <v>283</v>
      </c>
      <c r="H63" s="1" t="s">
        <v>50</v>
      </c>
      <c r="I63" s="1" t="s">
        <v>71</v>
      </c>
      <c r="J63" s="1" t="s">
        <v>7</v>
      </c>
      <c r="K63" s="1" t="s">
        <v>72</v>
      </c>
      <c r="L63" s="1" t="s">
        <v>73</v>
      </c>
      <c r="M63" s="1" t="s">
        <v>74</v>
      </c>
      <c r="N63" s="1" t="s">
        <v>12</v>
      </c>
    </row>
    <row r="64" spans="1:14" ht="43.5">
      <c r="A64" s="1">
        <v>63</v>
      </c>
      <c r="B64" s="1" t="s">
        <v>262</v>
      </c>
      <c r="C64" s="1" t="s">
        <v>284</v>
      </c>
      <c r="D64" s="1" t="s">
        <v>285</v>
      </c>
      <c r="E64" s="1" t="s">
        <v>68</v>
      </c>
      <c r="F64" s="1" t="s">
        <v>286</v>
      </c>
      <c r="G64" s="1" t="s">
        <v>287</v>
      </c>
      <c r="H64" s="1" t="s">
        <v>38</v>
      </c>
      <c r="I64" s="1" t="s">
        <v>71</v>
      </c>
      <c r="J64" s="1" t="s">
        <v>7</v>
      </c>
      <c r="K64" s="1" t="s">
        <v>72</v>
      </c>
      <c r="L64" s="1" t="s">
        <v>73</v>
      </c>
      <c r="M64" s="1" t="s">
        <v>74</v>
      </c>
      <c r="N64" s="1" t="s">
        <v>12</v>
      </c>
    </row>
    <row r="65" spans="1:14" ht="43.5">
      <c r="A65" s="1">
        <v>64</v>
      </c>
      <c r="B65" s="1" t="s">
        <v>262</v>
      </c>
      <c r="C65" s="1" t="s">
        <v>288</v>
      </c>
      <c r="D65" s="1" t="s">
        <v>289</v>
      </c>
      <c r="E65" s="1" t="s">
        <v>290</v>
      </c>
      <c r="F65" s="1" t="s">
        <v>291</v>
      </c>
      <c r="G65" s="1" t="s">
        <v>292</v>
      </c>
      <c r="H65" s="1" t="s">
        <v>38</v>
      </c>
      <c r="I65" s="1" t="s">
        <v>71</v>
      </c>
      <c r="J65" s="1" t="s">
        <v>7</v>
      </c>
      <c r="K65" s="1" t="s">
        <v>72</v>
      </c>
      <c r="L65" s="1" t="s">
        <v>73</v>
      </c>
      <c r="M65" s="1" t="s">
        <v>74</v>
      </c>
      <c r="N65" s="1" t="s">
        <v>12</v>
      </c>
    </row>
    <row r="66" spans="1:14" ht="43.5">
      <c r="A66" s="1">
        <v>65</v>
      </c>
      <c r="B66" s="1" t="s">
        <v>262</v>
      </c>
      <c r="C66" s="1" t="s">
        <v>293</v>
      </c>
      <c r="D66" s="1" t="s">
        <v>294</v>
      </c>
      <c r="E66" s="1" t="s">
        <v>290</v>
      </c>
      <c r="F66" s="1" t="s">
        <v>295</v>
      </c>
      <c r="G66" s="1" t="s">
        <v>296</v>
      </c>
      <c r="H66" s="1" t="s">
        <v>38</v>
      </c>
      <c r="I66" s="1" t="s">
        <v>71</v>
      </c>
      <c r="J66" s="1" t="s">
        <v>7</v>
      </c>
      <c r="K66" s="1" t="s">
        <v>72</v>
      </c>
      <c r="L66" s="1" t="s">
        <v>73</v>
      </c>
      <c r="M66" s="1" t="s">
        <v>74</v>
      </c>
      <c r="N66" s="1" t="s">
        <v>12</v>
      </c>
    </row>
    <row r="67" spans="1:14" ht="43.5">
      <c r="A67" s="1">
        <v>66</v>
      </c>
      <c r="B67" s="1" t="s">
        <v>262</v>
      </c>
      <c r="C67" s="1" t="s">
        <v>297</v>
      </c>
      <c r="D67" s="1" t="s">
        <v>298</v>
      </c>
      <c r="E67" s="1" t="s">
        <v>290</v>
      </c>
      <c r="F67" s="1" t="s">
        <v>299</v>
      </c>
      <c r="G67" s="1" t="s">
        <v>300</v>
      </c>
      <c r="H67" s="1" t="s">
        <v>38</v>
      </c>
      <c r="I67" s="1" t="s">
        <v>71</v>
      </c>
      <c r="J67" s="1" t="s">
        <v>7</v>
      </c>
      <c r="K67" s="1" t="s">
        <v>72</v>
      </c>
      <c r="L67" s="1" t="s">
        <v>73</v>
      </c>
      <c r="M67" s="1" t="s">
        <v>74</v>
      </c>
      <c r="N67" s="1" t="s">
        <v>12</v>
      </c>
    </row>
    <row r="68" spans="1:14" ht="43.5">
      <c r="A68" s="1">
        <v>67</v>
      </c>
      <c r="B68" s="1" t="s">
        <v>262</v>
      </c>
      <c r="C68" s="1" t="s">
        <v>301</v>
      </c>
      <c r="D68" s="23" t="s">
        <v>513</v>
      </c>
      <c r="E68" s="1" t="s">
        <v>290</v>
      </c>
      <c r="F68" s="1" t="s">
        <v>222</v>
      </c>
      <c r="G68" s="1" t="s">
        <v>302</v>
      </c>
      <c r="H68" s="1" t="s">
        <v>38</v>
      </c>
      <c r="I68" s="1" t="s">
        <v>71</v>
      </c>
      <c r="J68" s="1" t="s">
        <v>7</v>
      </c>
      <c r="K68" s="1" t="s">
        <v>72</v>
      </c>
      <c r="L68" s="1" t="s">
        <v>73</v>
      </c>
      <c r="M68" s="1" t="s">
        <v>74</v>
      </c>
      <c r="N68" s="1" t="s">
        <v>12</v>
      </c>
    </row>
    <row r="69" spans="1:14" ht="43.5">
      <c r="A69" s="1">
        <v>68</v>
      </c>
      <c r="B69" s="1" t="s">
        <v>262</v>
      </c>
      <c r="C69" s="1" t="s">
        <v>303</v>
      </c>
      <c r="D69" s="1" t="s">
        <v>304</v>
      </c>
      <c r="E69" s="1" t="s">
        <v>290</v>
      </c>
      <c r="F69" s="1" t="s">
        <v>305</v>
      </c>
      <c r="G69" s="1" t="s">
        <v>306</v>
      </c>
      <c r="H69" s="1" t="s">
        <v>38</v>
      </c>
      <c r="I69" s="1" t="s">
        <v>71</v>
      </c>
      <c r="J69" s="1" t="s">
        <v>7</v>
      </c>
      <c r="K69" s="1" t="s">
        <v>72</v>
      </c>
      <c r="L69" s="1" t="s">
        <v>73</v>
      </c>
      <c r="M69" s="1" t="s">
        <v>74</v>
      </c>
      <c r="N69" s="1" t="s">
        <v>12</v>
      </c>
    </row>
    <row r="70" spans="1:14" ht="57.75">
      <c r="A70" s="1">
        <v>69</v>
      </c>
      <c r="B70" s="1" t="s">
        <v>262</v>
      </c>
      <c r="C70" s="1" t="s">
        <v>307</v>
      </c>
      <c r="D70" s="1" t="s">
        <v>308</v>
      </c>
      <c r="E70" s="1" t="s">
        <v>68</v>
      </c>
      <c r="F70" s="1" t="s">
        <v>309</v>
      </c>
      <c r="G70" s="1" t="s">
        <v>310</v>
      </c>
      <c r="H70" s="1" t="s">
        <v>38</v>
      </c>
      <c r="I70" s="1" t="s">
        <v>71</v>
      </c>
      <c r="J70" s="1" t="s">
        <v>7</v>
      </c>
      <c r="K70" s="1" t="s">
        <v>311</v>
      </c>
      <c r="L70" s="1" t="s">
        <v>312</v>
      </c>
      <c r="M70" s="1" t="s">
        <v>74</v>
      </c>
      <c r="N70" s="1" t="s">
        <v>12</v>
      </c>
    </row>
    <row r="71" spans="1:14" ht="43.5">
      <c r="A71" s="1">
        <v>70</v>
      </c>
      <c r="B71" s="1" t="s">
        <v>262</v>
      </c>
      <c r="C71" s="1" t="s">
        <v>313</v>
      </c>
      <c r="D71" s="1" t="s">
        <v>314</v>
      </c>
      <c r="E71" s="1" t="s">
        <v>68</v>
      </c>
      <c r="F71" s="1" t="s">
        <v>309</v>
      </c>
      <c r="G71" s="1" t="s">
        <v>315</v>
      </c>
      <c r="H71" s="1" t="s">
        <v>38</v>
      </c>
      <c r="I71" s="1" t="s">
        <v>71</v>
      </c>
      <c r="J71" s="1" t="s">
        <v>7</v>
      </c>
      <c r="K71" s="1" t="s">
        <v>316</v>
      </c>
      <c r="L71" s="1" t="s">
        <v>317</v>
      </c>
      <c r="M71" s="1" t="s">
        <v>74</v>
      </c>
      <c r="N71" s="1" t="s">
        <v>12</v>
      </c>
    </row>
    <row r="72" spans="1:14" ht="43.5">
      <c r="A72" s="1">
        <v>71</v>
      </c>
      <c r="B72" s="1" t="s">
        <v>40</v>
      </c>
      <c r="C72" s="1" t="s">
        <v>318</v>
      </c>
      <c r="D72" s="22" t="s">
        <v>514</v>
      </c>
      <c r="E72" s="1" t="s">
        <v>68</v>
      </c>
      <c r="F72" s="1" t="s">
        <v>319</v>
      </c>
      <c r="G72" s="1" t="s">
        <v>320</v>
      </c>
      <c r="H72" s="1" t="s">
        <v>38</v>
      </c>
      <c r="I72" s="1" t="s">
        <v>71</v>
      </c>
      <c r="J72" s="1" t="s">
        <v>7</v>
      </c>
      <c r="K72" s="1" t="s">
        <v>321</v>
      </c>
      <c r="L72" s="1" t="s">
        <v>322</v>
      </c>
      <c r="M72" s="1" t="s">
        <v>74</v>
      </c>
      <c r="N72" s="1" t="s">
        <v>12</v>
      </c>
    </row>
    <row r="73" spans="1:14" ht="43.5">
      <c r="A73" s="1">
        <v>72</v>
      </c>
      <c r="B73" s="1" t="s">
        <v>40</v>
      </c>
      <c r="C73" s="1" t="s">
        <v>323</v>
      </c>
      <c r="D73" s="1" t="s">
        <v>324</v>
      </c>
      <c r="E73" s="1" t="s">
        <v>68</v>
      </c>
      <c r="F73" s="1" t="s">
        <v>319</v>
      </c>
      <c r="G73" s="1" t="s">
        <v>325</v>
      </c>
      <c r="H73" s="1" t="s">
        <v>38</v>
      </c>
      <c r="I73" s="1" t="s">
        <v>71</v>
      </c>
      <c r="J73" s="1" t="s">
        <v>7</v>
      </c>
      <c r="K73" s="1" t="s">
        <v>326</v>
      </c>
      <c r="L73" s="1" t="s">
        <v>327</v>
      </c>
      <c r="M73" s="1" t="s">
        <v>74</v>
      </c>
      <c r="N73" s="1" t="s">
        <v>12</v>
      </c>
    </row>
    <row r="74" spans="1:14" ht="29.25">
      <c r="A74" s="1">
        <v>73</v>
      </c>
      <c r="B74" s="1" t="s">
        <v>40</v>
      </c>
      <c r="C74" s="1" t="s">
        <v>328</v>
      </c>
      <c r="D74" s="1" t="s">
        <v>329</v>
      </c>
      <c r="E74" s="1" t="s">
        <v>68</v>
      </c>
      <c r="F74" s="1" t="s">
        <v>319</v>
      </c>
      <c r="G74" s="1" t="s">
        <v>330</v>
      </c>
      <c r="H74" s="1" t="s">
        <v>38</v>
      </c>
      <c r="I74" s="1" t="s">
        <v>71</v>
      </c>
      <c r="J74" s="1" t="s">
        <v>7</v>
      </c>
      <c r="K74" s="1" t="s">
        <v>331</v>
      </c>
      <c r="L74" s="1" t="s">
        <v>327</v>
      </c>
      <c r="M74" s="1" t="s">
        <v>74</v>
      </c>
      <c r="N74" s="1" t="s">
        <v>12</v>
      </c>
    </row>
    <row r="75" spans="1:14" ht="29.25">
      <c r="A75" s="1">
        <v>74</v>
      </c>
      <c r="B75" s="1" t="s">
        <v>40</v>
      </c>
      <c r="C75" s="1" t="s">
        <v>332</v>
      </c>
      <c r="D75" s="1" t="s">
        <v>333</v>
      </c>
      <c r="E75" s="1" t="s">
        <v>68</v>
      </c>
      <c r="F75" s="1" t="s">
        <v>319</v>
      </c>
      <c r="G75" s="1" t="s">
        <v>334</v>
      </c>
      <c r="H75" s="1" t="s">
        <v>38</v>
      </c>
      <c r="I75" s="1" t="s">
        <v>71</v>
      </c>
      <c r="J75" s="1" t="s">
        <v>7</v>
      </c>
      <c r="K75" s="1" t="s">
        <v>335</v>
      </c>
      <c r="L75" s="1" t="s">
        <v>336</v>
      </c>
      <c r="M75" s="1" t="s">
        <v>74</v>
      </c>
      <c r="N75" s="1" t="s">
        <v>12</v>
      </c>
    </row>
    <row r="76" spans="1:14" ht="29.25">
      <c r="A76" s="1">
        <v>75</v>
      </c>
      <c r="B76" s="1" t="s">
        <v>40</v>
      </c>
      <c r="C76" s="1" t="s">
        <v>337</v>
      </c>
      <c r="D76" s="1" t="s">
        <v>338</v>
      </c>
      <c r="E76" s="1" t="s">
        <v>68</v>
      </c>
      <c r="F76" s="1" t="s">
        <v>319</v>
      </c>
      <c r="G76" s="1" t="s">
        <v>339</v>
      </c>
      <c r="H76" s="1" t="s">
        <v>38</v>
      </c>
      <c r="I76" s="1" t="s">
        <v>71</v>
      </c>
      <c r="J76" s="1" t="s">
        <v>7</v>
      </c>
      <c r="K76" s="1" t="s">
        <v>340</v>
      </c>
      <c r="L76" s="1" t="s">
        <v>327</v>
      </c>
      <c r="M76" s="1" t="s">
        <v>74</v>
      </c>
      <c r="N76" s="1" t="s">
        <v>12</v>
      </c>
    </row>
    <row r="77" spans="1:14" ht="29.25">
      <c r="A77" s="1">
        <v>76</v>
      </c>
      <c r="B77" s="1" t="s">
        <v>40</v>
      </c>
      <c r="C77" s="1" t="s">
        <v>341</v>
      </c>
      <c r="D77" s="1" t="s">
        <v>342</v>
      </c>
      <c r="E77" s="1" t="s">
        <v>68</v>
      </c>
      <c r="F77" s="1" t="s">
        <v>319</v>
      </c>
      <c r="G77" s="1" t="s">
        <v>343</v>
      </c>
      <c r="H77" s="1" t="s">
        <v>38</v>
      </c>
      <c r="I77" s="1" t="s">
        <v>71</v>
      </c>
      <c r="J77" s="1" t="s">
        <v>7</v>
      </c>
      <c r="K77" s="1" t="s">
        <v>344</v>
      </c>
      <c r="L77" s="1" t="s">
        <v>327</v>
      </c>
      <c r="M77" s="1" t="s">
        <v>74</v>
      </c>
      <c r="N77" s="1" t="s">
        <v>12</v>
      </c>
    </row>
    <row r="78" spans="1:14" ht="29.25">
      <c r="A78" s="1">
        <v>77</v>
      </c>
      <c r="B78" s="1" t="s">
        <v>40</v>
      </c>
      <c r="C78" s="1" t="s">
        <v>345</v>
      </c>
      <c r="D78" s="1" t="s">
        <v>346</v>
      </c>
      <c r="E78" s="1" t="s">
        <v>347</v>
      </c>
      <c r="F78" s="1" t="s">
        <v>348</v>
      </c>
      <c r="G78" s="1" t="s">
        <v>349</v>
      </c>
      <c r="H78" s="1" t="s">
        <v>38</v>
      </c>
      <c r="I78" s="1" t="s">
        <v>71</v>
      </c>
      <c r="J78" s="1" t="s">
        <v>7</v>
      </c>
      <c r="K78" s="1" t="s">
        <v>350</v>
      </c>
      <c r="L78" s="1" t="s">
        <v>351</v>
      </c>
      <c r="M78" s="1" t="s">
        <v>74</v>
      </c>
      <c r="N78" s="1" t="s">
        <v>12</v>
      </c>
    </row>
    <row r="79" spans="1:14" ht="29.25">
      <c r="A79" s="1">
        <v>78</v>
      </c>
      <c r="B79" s="1" t="s">
        <v>40</v>
      </c>
      <c r="C79" s="1" t="s">
        <v>352</v>
      </c>
      <c r="D79" s="1" t="s">
        <v>353</v>
      </c>
      <c r="E79" s="1" t="s">
        <v>354</v>
      </c>
      <c r="F79" s="1" t="s">
        <v>348</v>
      </c>
      <c r="G79" s="1" t="s">
        <v>355</v>
      </c>
      <c r="H79" s="1" t="s">
        <v>38</v>
      </c>
      <c r="I79" s="1" t="s">
        <v>71</v>
      </c>
      <c r="J79" s="1" t="s">
        <v>7</v>
      </c>
      <c r="K79" s="1" t="s">
        <v>356</v>
      </c>
      <c r="L79" s="1" t="s">
        <v>357</v>
      </c>
      <c r="M79" s="1" t="s">
        <v>74</v>
      </c>
      <c r="N79" s="1" t="s">
        <v>12</v>
      </c>
    </row>
    <row r="80" spans="1:14" ht="29.25">
      <c r="A80" s="1">
        <v>79</v>
      </c>
      <c r="B80" s="1" t="s">
        <v>40</v>
      </c>
      <c r="C80" s="1" t="s">
        <v>358</v>
      </c>
      <c r="D80" s="1" t="s">
        <v>359</v>
      </c>
      <c r="E80" s="1" t="s">
        <v>68</v>
      </c>
      <c r="F80" s="1" t="s">
        <v>360</v>
      </c>
      <c r="G80" s="1" t="s">
        <v>361</v>
      </c>
      <c r="H80" s="1" t="s">
        <v>38</v>
      </c>
      <c r="I80" s="1" t="s">
        <v>71</v>
      </c>
      <c r="J80" s="1" t="s">
        <v>7</v>
      </c>
      <c r="K80" s="1" t="s">
        <v>362</v>
      </c>
      <c r="L80" s="1" t="s">
        <v>363</v>
      </c>
      <c r="M80" s="1" t="s">
        <v>74</v>
      </c>
      <c r="N80" s="1" t="s">
        <v>12</v>
      </c>
    </row>
    <row r="81" spans="1:14" ht="43.5">
      <c r="A81" s="1">
        <v>80</v>
      </c>
      <c r="B81" s="1" t="s">
        <v>364</v>
      </c>
      <c r="C81" s="1" t="s">
        <v>365</v>
      </c>
      <c r="D81" s="1" t="s">
        <v>366</v>
      </c>
      <c r="E81" s="1" t="s">
        <v>68</v>
      </c>
      <c r="F81" s="1" t="s">
        <v>367</v>
      </c>
      <c r="G81" s="1" t="s">
        <v>368</v>
      </c>
      <c r="H81" s="1" t="s">
        <v>50</v>
      </c>
      <c r="I81" s="1" t="s">
        <v>71</v>
      </c>
      <c r="J81" s="1" t="s">
        <v>7</v>
      </c>
      <c r="K81" s="1" t="s">
        <v>72</v>
      </c>
      <c r="L81" s="1" t="s">
        <v>73</v>
      </c>
      <c r="M81" s="1" t="s">
        <v>74</v>
      </c>
      <c r="N81" s="1" t="s">
        <v>12</v>
      </c>
    </row>
    <row r="82" spans="1:14" ht="43.5">
      <c r="A82" s="1">
        <v>81</v>
      </c>
      <c r="B82" s="1" t="s">
        <v>364</v>
      </c>
      <c r="C82" s="1" t="s">
        <v>369</v>
      </c>
      <c r="D82" s="1" t="s">
        <v>370</v>
      </c>
      <c r="E82" s="1" t="s">
        <v>68</v>
      </c>
      <c r="F82" s="1" t="s">
        <v>367</v>
      </c>
      <c r="G82" s="1" t="s">
        <v>371</v>
      </c>
      <c r="H82" s="1" t="s">
        <v>50</v>
      </c>
      <c r="I82" s="1" t="s">
        <v>71</v>
      </c>
      <c r="J82" s="1" t="s">
        <v>7</v>
      </c>
      <c r="K82" s="1" t="s">
        <v>72</v>
      </c>
      <c r="L82" s="1" t="s">
        <v>73</v>
      </c>
      <c r="M82" s="1" t="s">
        <v>74</v>
      </c>
      <c r="N82" s="1" t="s">
        <v>12</v>
      </c>
    </row>
    <row r="83" spans="1:14" ht="43.5">
      <c r="A83" s="1">
        <v>82</v>
      </c>
      <c r="B83" s="1" t="s">
        <v>364</v>
      </c>
      <c r="C83" s="1" t="s">
        <v>372</v>
      </c>
      <c r="D83" s="1" t="s">
        <v>373</v>
      </c>
      <c r="E83" s="1" t="s">
        <v>68</v>
      </c>
      <c r="F83" s="1" t="s">
        <v>367</v>
      </c>
      <c r="G83" s="1" t="s">
        <v>374</v>
      </c>
      <c r="H83" s="1" t="s">
        <v>50</v>
      </c>
      <c r="I83" s="1" t="s">
        <v>71</v>
      </c>
      <c r="J83" s="1" t="s">
        <v>7</v>
      </c>
      <c r="K83" s="1" t="s">
        <v>72</v>
      </c>
      <c r="L83" s="1" t="s">
        <v>73</v>
      </c>
      <c r="M83" s="1" t="s">
        <v>74</v>
      </c>
      <c r="N83" s="1" t="s">
        <v>12</v>
      </c>
    </row>
    <row r="84" spans="1:14" ht="43.5">
      <c r="A84" s="1">
        <v>83</v>
      </c>
      <c r="B84" s="1" t="s">
        <v>364</v>
      </c>
      <c r="C84" s="1" t="s">
        <v>375</v>
      </c>
      <c r="D84" s="1" t="s">
        <v>376</v>
      </c>
      <c r="E84" s="1" t="s">
        <v>68</v>
      </c>
      <c r="F84" s="1" t="s">
        <v>367</v>
      </c>
      <c r="G84" s="1" t="s">
        <v>377</v>
      </c>
      <c r="H84" s="1" t="s">
        <v>50</v>
      </c>
      <c r="I84" s="1" t="s">
        <v>71</v>
      </c>
      <c r="J84" s="1" t="s">
        <v>7</v>
      </c>
      <c r="K84" s="1" t="s">
        <v>72</v>
      </c>
      <c r="L84" s="1" t="s">
        <v>73</v>
      </c>
      <c r="M84" s="1" t="s">
        <v>74</v>
      </c>
      <c r="N84" s="1" t="s">
        <v>12</v>
      </c>
    </row>
    <row r="85" spans="1:14" ht="43.5">
      <c r="A85" s="1">
        <v>84</v>
      </c>
      <c r="B85" s="1" t="s">
        <v>378</v>
      </c>
      <c r="C85" s="1" t="s">
        <v>379</v>
      </c>
      <c r="D85" s="1" t="s">
        <v>380</v>
      </c>
      <c r="E85" s="1" t="s">
        <v>68</v>
      </c>
      <c r="F85" s="1" t="s">
        <v>367</v>
      </c>
      <c r="G85" s="1" t="s">
        <v>381</v>
      </c>
      <c r="H85" s="1" t="s">
        <v>38</v>
      </c>
      <c r="I85" s="1" t="s">
        <v>71</v>
      </c>
      <c r="J85" s="1" t="s">
        <v>7</v>
      </c>
      <c r="K85" s="1" t="s">
        <v>72</v>
      </c>
      <c r="L85" s="1" t="s">
        <v>73</v>
      </c>
      <c r="M85" s="1" t="s">
        <v>74</v>
      </c>
      <c r="N85" s="1" t="s">
        <v>12</v>
      </c>
    </row>
    <row r="86" spans="1:14" ht="43.5">
      <c r="A86" s="1">
        <v>85</v>
      </c>
      <c r="B86" s="1" t="s">
        <v>378</v>
      </c>
      <c r="C86" s="1" t="s">
        <v>382</v>
      </c>
      <c r="D86" s="1" t="s">
        <v>383</v>
      </c>
      <c r="E86" s="1" t="s">
        <v>68</v>
      </c>
      <c r="F86" s="1" t="s">
        <v>367</v>
      </c>
      <c r="G86" s="1" t="s">
        <v>384</v>
      </c>
      <c r="H86" s="1" t="s">
        <v>38</v>
      </c>
      <c r="I86" s="1" t="s">
        <v>71</v>
      </c>
      <c r="J86" s="1" t="s">
        <v>7</v>
      </c>
      <c r="K86" s="1" t="s">
        <v>72</v>
      </c>
      <c r="L86" s="1" t="s">
        <v>73</v>
      </c>
      <c r="M86" s="1" t="s">
        <v>74</v>
      </c>
      <c r="N86" s="1" t="s">
        <v>12</v>
      </c>
    </row>
    <row r="87" spans="1:14" ht="43.5">
      <c r="A87" s="1">
        <v>86</v>
      </c>
      <c r="B87" s="1" t="s">
        <v>378</v>
      </c>
      <c r="C87" s="1" t="s">
        <v>385</v>
      </c>
      <c r="D87" s="1" t="s">
        <v>386</v>
      </c>
      <c r="E87" s="1" t="s">
        <v>68</v>
      </c>
      <c r="F87" s="1" t="s">
        <v>367</v>
      </c>
      <c r="G87" s="1" t="s">
        <v>384</v>
      </c>
      <c r="H87" s="1" t="s">
        <v>38</v>
      </c>
      <c r="I87" s="1" t="s">
        <v>71</v>
      </c>
      <c r="J87" s="1" t="s">
        <v>7</v>
      </c>
      <c r="K87" s="1" t="s">
        <v>72</v>
      </c>
      <c r="L87" s="1" t="s">
        <v>73</v>
      </c>
      <c r="M87" s="1" t="s">
        <v>74</v>
      </c>
      <c r="N87" s="1" t="s">
        <v>12</v>
      </c>
    </row>
    <row r="88" spans="1:14" ht="43.5">
      <c r="A88" s="1">
        <v>87</v>
      </c>
      <c r="B88" s="1" t="s">
        <v>378</v>
      </c>
      <c r="C88" s="1" t="s">
        <v>387</v>
      </c>
      <c r="D88" s="1" t="s">
        <v>388</v>
      </c>
      <c r="E88" s="1" t="s">
        <v>68</v>
      </c>
      <c r="F88" s="1" t="s">
        <v>367</v>
      </c>
      <c r="G88" s="1" t="s">
        <v>384</v>
      </c>
      <c r="H88" s="1" t="s">
        <v>38</v>
      </c>
      <c r="I88" s="1" t="s">
        <v>71</v>
      </c>
      <c r="J88" s="1" t="s">
        <v>7</v>
      </c>
      <c r="K88" s="1" t="s">
        <v>72</v>
      </c>
      <c r="L88" s="1" t="s">
        <v>73</v>
      </c>
      <c r="M88" s="1" t="s">
        <v>74</v>
      </c>
      <c r="N88" s="1" t="s">
        <v>12</v>
      </c>
    </row>
    <row r="89" spans="1:14" ht="43.5">
      <c r="A89" s="1">
        <v>88</v>
      </c>
      <c r="B89" s="1" t="s">
        <v>37</v>
      </c>
      <c r="C89" s="1" t="s">
        <v>389</v>
      </c>
      <c r="D89" s="1" t="s">
        <v>390</v>
      </c>
      <c r="E89" s="1" t="s">
        <v>68</v>
      </c>
      <c r="F89" s="1" t="s">
        <v>367</v>
      </c>
      <c r="G89" s="1" t="s">
        <v>391</v>
      </c>
      <c r="H89" s="1" t="s">
        <v>38</v>
      </c>
      <c r="I89" s="1" t="s">
        <v>71</v>
      </c>
      <c r="J89" s="1" t="s">
        <v>7</v>
      </c>
      <c r="K89" s="1" t="s">
        <v>72</v>
      </c>
      <c r="L89" s="1" t="s">
        <v>73</v>
      </c>
      <c r="M89" s="1" t="s">
        <v>74</v>
      </c>
      <c r="N89" s="1" t="s">
        <v>12</v>
      </c>
    </row>
    <row r="90" spans="1:14" ht="43.5">
      <c r="A90" s="1">
        <v>89</v>
      </c>
      <c r="B90" s="1" t="s">
        <v>37</v>
      </c>
      <c r="C90" s="1" t="s">
        <v>392</v>
      </c>
      <c r="D90" s="1" t="s">
        <v>393</v>
      </c>
      <c r="E90" s="1" t="s">
        <v>68</v>
      </c>
      <c r="F90" s="1" t="s">
        <v>367</v>
      </c>
      <c r="G90" s="1" t="s">
        <v>394</v>
      </c>
      <c r="H90" s="1" t="s">
        <v>38</v>
      </c>
      <c r="I90" s="1" t="s">
        <v>71</v>
      </c>
      <c r="J90" s="1" t="s">
        <v>7</v>
      </c>
      <c r="K90" s="1" t="s">
        <v>72</v>
      </c>
      <c r="L90" s="1" t="s">
        <v>73</v>
      </c>
      <c r="M90" s="1" t="s">
        <v>74</v>
      </c>
      <c r="N90" s="1" t="s">
        <v>12</v>
      </c>
    </row>
    <row r="91" spans="1:14" ht="43.5">
      <c r="A91" s="1">
        <v>90</v>
      </c>
      <c r="B91" s="1" t="s">
        <v>37</v>
      </c>
      <c r="C91" s="1" t="s">
        <v>395</v>
      </c>
      <c r="D91" s="1" t="s">
        <v>396</v>
      </c>
      <c r="E91" s="1" t="s">
        <v>68</v>
      </c>
      <c r="F91" s="1" t="s">
        <v>367</v>
      </c>
      <c r="G91" s="1" t="s">
        <v>397</v>
      </c>
      <c r="H91" s="1" t="s">
        <v>38</v>
      </c>
      <c r="I91" s="1" t="s">
        <v>71</v>
      </c>
      <c r="J91" s="1" t="s">
        <v>7</v>
      </c>
      <c r="K91" s="1" t="s">
        <v>72</v>
      </c>
      <c r="L91" s="1" t="s">
        <v>73</v>
      </c>
      <c r="M91" s="1" t="s">
        <v>74</v>
      </c>
      <c r="N91" s="1" t="s">
        <v>12</v>
      </c>
    </row>
    <row r="92" spans="1:14" ht="43.5">
      <c r="A92" s="1">
        <v>91</v>
      </c>
      <c r="B92" s="1" t="s">
        <v>37</v>
      </c>
      <c r="C92" s="1" t="s">
        <v>398</v>
      </c>
      <c r="D92" s="1" t="s">
        <v>399</v>
      </c>
      <c r="E92" s="1" t="s">
        <v>68</v>
      </c>
      <c r="F92" s="1" t="s">
        <v>367</v>
      </c>
      <c r="G92" s="1" t="s">
        <v>400</v>
      </c>
      <c r="H92" s="1" t="s">
        <v>38</v>
      </c>
      <c r="I92" s="1" t="s">
        <v>71</v>
      </c>
      <c r="J92" s="1" t="s">
        <v>7</v>
      </c>
      <c r="K92" s="1" t="s">
        <v>72</v>
      </c>
      <c r="L92" s="1" t="s">
        <v>73</v>
      </c>
      <c r="M92" s="1" t="s">
        <v>74</v>
      </c>
      <c r="N92" s="1" t="s">
        <v>12</v>
      </c>
    </row>
    <row r="93" spans="1:14" ht="43.5">
      <c r="A93" s="1">
        <v>92</v>
      </c>
      <c r="B93" s="1" t="s">
        <v>37</v>
      </c>
      <c r="C93" s="1" t="s">
        <v>401</v>
      </c>
      <c r="D93" s="1" t="s">
        <v>402</v>
      </c>
      <c r="E93" s="1" t="s">
        <v>68</v>
      </c>
      <c r="F93" s="1" t="s">
        <v>367</v>
      </c>
      <c r="G93" s="1" t="s">
        <v>403</v>
      </c>
      <c r="H93" s="1" t="s">
        <v>38</v>
      </c>
      <c r="I93" s="1" t="s">
        <v>71</v>
      </c>
      <c r="J93" s="1" t="s">
        <v>7</v>
      </c>
      <c r="K93" s="1" t="s">
        <v>72</v>
      </c>
      <c r="L93" s="1" t="s">
        <v>73</v>
      </c>
      <c r="M93" s="1" t="s">
        <v>74</v>
      </c>
      <c r="N93" s="1" t="s">
        <v>12</v>
      </c>
    </row>
    <row r="94" spans="1:14" ht="43.5">
      <c r="A94" s="1">
        <v>93</v>
      </c>
      <c r="B94" s="1" t="s">
        <v>404</v>
      </c>
      <c r="C94" s="1" t="s">
        <v>405</v>
      </c>
      <c r="D94" s="1" t="s">
        <v>406</v>
      </c>
      <c r="E94" s="1" t="s">
        <v>68</v>
      </c>
      <c r="F94" s="1" t="s">
        <v>407</v>
      </c>
      <c r="G94" s="1" t="s">
        <v>408</v>
      </c>
      <c r="H94" s="1" t="s">
        <v>50</v>
      </c>
      <c r="I94" s="1" t="s">
        <v>71</v>
      </c>
      <c r="J94" s="1" t="s">
        <v>7</v>
      </c>
      <c r="K94" s="1" t="s">
        <v>72</v>
      </c>
      <c r="L94" s="1" t="s">
        <v>73</v>
      </c>
      <c r="M94" s="1" t="s">
        <v>74</v>
      </c>
      <c r="N94" s="1" t="s">
        <v>12</v>
      </c>
    </row>
    <row r="95" spans="1:14" ht="43.5">
      <c r="A95" s="1">
        <v>94</v>
      </c>
      <c r="B95" s="1" t="s">
        <v>404</v>
      </c>
      <c r="C95" s="1" t="s">
        <v>409</v>
      </c>
      <c r="D95" s="1" t="s">
        <v>410</v>
      </c>
      <c r="E95" s="1" t="s">
        <v>68</v>
      </c>
      <c r="F95" s="1" t="s">
        <v>407</v>
      </c>
      <c r="G95" s="1" t="s">
        <v>411</v>
      </c>
      <c r="H95" s="1" t="s">
        <v>38</v>
      </c>
      <c r="I95" s="1" t="s">
        <v>71</v>
      </c>
      <c r="J95" s="1" t="s">
        <v>7</v>
      </c>
      <c r="K95" s="1" t="s">
        <v>72</v>
      </c>
      <c r="L95" s="1" t="s">
        <v>73</v>
      </c>
      <c r="M95" s="1" t="s">
        <v>74</v>
      </c>
      <c r="N95" s="1" t="s">
        <v>12</v>
      </c>
    </row>
    <row r="96" spans="1:14" ht="43.5">
      <c r="A96" s="1">
        <v>95</v>
      </c>
      <c r="B96" s="1" t="s">
        <v>412</v>
      </c>
      <c r="C96" s="1" t="s">
        <v>413</v>
      </c>
      <c r="D96" s="1" t="s">
        <v>414</v>
      </c>
      <c r="E96" s="1" t="s">
        <v>68</v>
      </c>
      <c r="F96" s="1" t="s">
        <v>415</v>
      </c>
      <c r="G96" s="1" t="s">
        <v>416</v>
      </c>
      <c r="H96" s="1" t="s">
        <v>50</v>
      </c>
      <c r="I96" s="1" t="s">
        <v>71</v>
      </c>
      <c r="J96" s="1" t="s">
        <v>7</v>
      </c>
      <c r="K96" s="1" t="s">
        <v>72</v>
      </c>
      <c r="L96" s="1" t="s">
        <v>73</v>
      </c>
      <c r="M96" s="1" t="s">
        <v>74</v>
      </c>
      <c r="N96" s="1" t="s">
        <v>12</v>
      </c>
    </row>
    <row r="97" spans="1:14" ht="43.5">
      <c r="A97" s="1">
        <v>96</v>
      </c>
      <c r="B97" s="1" t="s">
        <v>412</v>
      </c>
      <c r="C97" s="1" t="s">
        <v>417</v>
      </c>
      <c r="D97" s="1" t="s">
        <v>418</v>
      </c>
      <c r="E97" s="1" t="s">
        <v>68</v>
      </c>
      <c r="F97" s="1" t="s">
        <v>415</v>
      </c>
      <c r="G97" s="1" t="s">
        <v>419</v>
      </c>
      <c r="H97" s="1" t="s">
        <v>50</v>
      </c>
      <c r="I97" s="1" t="s">
        <v>71</v>
      </c>
      <c r="J97" s="1" t="s">
        <v>7</v>
      </c>
      <c r="K97" s="1" t="s">
        <v>72</v>
      </c>
      <c r="L97" s="1" t="s">
        <v>73</v>
      </c>
      <c r="M97" s="1" t="s">
        <v>74</v>
      </c>
      <c r="N97" s="1" t="s">
        <v>12</v>
      </c>
    </row>
    <row r="98" spans="1:14" ht="43.5">
      <c r="A98" s="1">
        <v>97</v>
      </c>
      <c r="B98" s="1" t="s">
        <v>420</v>
      </c>
      <c r="C98" s="1" t="s">
        <v>421</v>
      </c>
      <c r="D98" s="1" t="s">
        <v>422</v>
      </c>
      <c r="E98" s="1" t="s">
        <v>68</v>
      </c>
      <c r="F98" s="1" t="s">
        <v>423</v>
      </c>
      <c r="G98" s="1" t="s">
        <v>424</v>
      </c>
      <c r="H98" s="1" t="s">
        <v>50</v>
      </c>
      <c r="I98" s="1" t="s">
        <v>71</v>
      </c>
      <c r="J98" s="1" t="s">
        <v>7</v>
      </c>
      <c r="K98" s="1" t="s">
        <v>72</v>
      </c>
      <c r="L98" s="1" t="s">
        <v>73</v>
      </c>
      <c r="M98" s="1" t="s">
        <v>74</v>
      </c>
      <c r="N98" s="1" t="s">
        <v>12</v>
      </c>
    </row>
    <row r="99" spans="1:14" ht="43.5">
      <c r="A99" s="1">
        <v>98</v>
      </c>
      <c r="B99" s="1" t="s">
        <v>420</v>
      </c>
      <c r="C99" s="1" t="s">
        <v>425</v>
      </c>
      <c r="D99" s="1" t="s">
        <v>426</v>
      </c>
      <c r="E99" s="1" t="s">
        <v>68</v>
      </c>
      <c r="F99" s="1" t="s">
        <v>423</v>
      </c>
      <c r="G99" s="1" t="s">
        <v>427</v>
      </c>
      <c r="H99" s="1" t="s">
        <v>50</v>
      </c>
      <c r="I99" s="1" t="s">
        <v>71</v>
      </c>
      <c r="J99" s="1" t="s">
        <v>7</v>
      </c>
      <c r="K99" s="1" t="s">
        <v>72</v>
      </c>
      <c r="L99" s="1" t="s">
        <v>73</v>
      </c>
      <c r="M99" s="1" t="s">
        <v>74</v>
      </c>
      <c r="N99" s="1" t="s">
        <v>12</v>
      </c>
    </row>
    <row r="100" spans="1:14" ht="57.75">
      <c r="A100" s="1">
        <v>99</v>
      </c>
      <c r="B100" s="1" t="s">
        <v>428</v>
      </c>
      <c r="C100" s="1" t="s">
        <v>429</v>
      </c>
      <c r="D100" s="1" t="s">
        <v>430</v>
      </c>
      <c r="E100" s="1" t="s">
        <v>68</v>
      </c>
      <c r="F100" s="1" t="s">
        <v>431</v>
      </c>
      <c r="G100" s="1" t="s">
        <v>432</v>
      </c>
      <c r="H100" s="1" t="s">
        <v>50</v>
      </c>
      <c r="I100" s="1" t="s">
        <v>71</v>
      </c>
      <c r="J100" s="1" t="s">
        <v>7</v>
      </c>
      <c r="K100" s="1" t="s">
        <v>433</v>
      </c>
      <c r="L100" s="1" t="s">
        <v>434</v>
      </c>
      <c r="M100" s="1" t="s">
        <v>74</v>
      </c>
      <c r="N100" s="1" t="s">
        <v>12</v>
      </c>
    </row>
    <row r="101" spans="1:14" ht="43.5">
      <c r="A101" s="1">
        <v>100</v>
      </c>
      <c r="B101" s="1" t="s">
        <v>435</v>
      </c>
      <c r="C101" s="1" t="s">
        <v>436</v>
      </c>
      <c r="D101" s="1" t="s">
        <v>437</v>
      </c>
      <c r="E101" s="1" t="s">
        <v>68</v>
      </c>
      <c r="F101" s="1" t="s">
        <v>438</v>
      </c>
      <c r="G101" s="1" t="s">
        <v>439</v>
      </c>
      <c r="H101" s="1" t="s">
        <v>50</v>
      </c>
      <c r="I101" s="1" t="s">
        <v>71</v>
      </c>
      <c r="J101" s="1" t="s">
        <v>7</v>
      </c>
      <c r="K101" s="1" t="s">
        <v>72</v>
      </c>
      <c r="L101" s="1" t="s">
        <v>73</v>
      </c>
      <c r="M101" s="1" t="s">
        <v>74</v>
      </c>
      <c r="N101" s="1" t="s">
        <v>12</v>
      </c>
    </row>
  </sheetData>
  <phoneticPr fontId="7" type="noConversion"/>
  <conditionalFormatting sqref="H2:H101">
    <cfRule type="expression" dxfId="5" priority="4">
      <formula>H2="P0"</formula>
    </cfRule>
  </conditionalFormatting>
  <conditionalFormatting sqref="J2:J101">
    <cfRule type="expression" dxfId="4" priority="1">
      <formula>J2="PASS"</formula>
    </cfRule>
    <cfRule type="expression" dxfId="3" priority="2">
      <formula>J2="FAIL"</formula>
    </cfRule>
    <cfRule type="expression" dxfId="2" priority="3">
      <formula>J2="BLOCKED"</formula>
    </cfRule>
  </conditionalFormatting>
  <dataValidations count="3">
    <dataValidation type="list" sqref="H2:H101" xr:uid="{00000000-0002-0000-0100-000000000000}">
      <formula1>"P0,P1,P2"</formula1>
    </dataValidation>
    <dataValidation type="list" sqref="I2:I101" xr:uid="{00000000-0002-0000-0100-000001000000}">
      <formula1>"實機驗證,流程驗證,實機/流程驗證,人工複核"</formula1>
    </dataValidation>
    <dataValidation type="list" sqref="J2:J101" xr:uid="{00000000-0002-0000-0100-000002000000}">
      <formula1>"PASS,FAIL,BLOCKED"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F26" sqref="F26"/>
    </sheetView>
  </sheetViews>
  <sheetFormatPr defaultRowHeight="14.25"/>
  <cols>
    <col min="1" max="1" width="11" bestFit="1" customWidth="1"/>
    <col min="2" max="2" width="7.125" bestFit="1" customWidth="1"/>
    <col min="3" max="3" width="6.375" bestFit="1" customWidth="1"/>
    <col min="4" max="4" width="5.375" bestFit="1" customWidth="1"/>
    <col min="5" max="5" width="7.625" bestFit="1" customWidth="1"/>
    <col min="6" max="6" width="9" bestFit="1" customWidth="1"/>
  </cols>
  <sheetData>
    <row r="1" spans="1:6" ht="15">
      <c r="A1" s="8" t="s">
        <v>53</v>
      </c>
      <c r="B1" s="8" t="s">
        <v>440</v>
      </c>
      <c r="C1" s="8" t="s">
        <v>7</v>
      </c>
      <c r="D1" s="8" t="s">
        <v>10</v>
      </c>
      <c r="E1" s="8" t="s">
        <v>19</v>
      </c>
      <c r="F1" s="8" t="s">
        <v>441</v>
      </c>
    </row>
    <row r="2" spans="1:6">
      <c r="A2" t="s">
        <v>65</v>
      </c>
      <c r="B2">
        <f>COUNTIF('100題UAT案例'!$B$2:$B$101,A2)</f>
        <v>15</v>
      </c>
      <c r="C2">
        <f>COUNTIFS('100題UAT案例'!$B$2:$B$101,A2,'100題UAT案例'!$J$2:$J$101,"PASS")</f>
        <v>15</v>
      </c>
      <c r="D2">
        <f>COUNTIFS('100題UAT案例'!$B$2:$B$101,A2,'100題UAT案例'!$J$2:$J$101,"FAIL")</f>
        <v>0</v>
      </c>
      <c r="E2" s="9">
        <f t="shared" ref="E2:E17" si="0">IF(B2=0,0,C2/B2)</f>
        <v>1</v>
      </c>
      <c r="F2" t="str">
        <f t="shared" ref="F2:F17" si="1">IF(D2&gt;0,"需修正",IF(C2=B2,"通過","未完成"))</f>
        <v>通過</v>
      </c>
    </row>
    <row r="3" spans="1:6">
      <c r="A3" t="s">
        <v>118</v>
      </c>
      <c r="B3">
        <f>COUNTIF('100題UAT案例'!$B$2:$B$101,A3)</f>
        <v>13</v>
      </c>
      <c r="C3">
        <f>COUNTIFS('100題UAT案例'!$B$2:$B$101,A3,'100題UAT案例'!$J$2:$J$101,"PASS")</f>
        <v>13</v>
      </c>
      <c r="D3">
        <f>COUNTIFS('100題UAT案例'!$B$2:$B$101,A3,'100題UAT案例'!$J$2:$J$101,"FAIL")</f>
        <v>0</v>
      </c>
      <c r="E3" s="9">
        <f t="shared" si="0"/>
        <v>1</v>
      </c>
      <c r="F3" t="str">
        <f t="shared" si="1"/>
        <v>通過</v>
      </c>
    </row>
    <row r="4" spans="1:6">
      <c r="A4" t="s">
        <v>42</v>
      </c>
      <c r="B4">
        <f>COUNTIF('100題UAT案例'!$B$2:$B$101,A4)</f>
        <v>6</v>
      </c>
      <c r="C4">
        <f>COUNTIFS('100題UAT案例'!$B$2:$B$101,A4,'100題UAT案例'!$J$2:$J$101,"PASS")</f>
        <v>6</v>
      </c>
      <c r="D4">
        <f>COUNTIFS('100題UAT案例'!$B$2:$B$101,A4,'100題UAT案例'!$J$2:$J$101,"FAIL")</f>
        <v>0</v>
      </c>
      <c r="E4" s="9">
        <f t="shared" si="0"/>
        <v>1</v>
      </c>
      <c r="F4" t="str">
        <f t="shared" si="1"/>
        <v>通過</v>
      </c>
    </row>
    <row r="5" spans="1:6">
      <c r="A5" t="s">
        <v>192</v>
      </c>
      <c r="B5">
        <f>COUNTIF('100題UAT案例'!$B$2:$B$101,A5)</f>
        <v>8</v>
      </c>
      <c r="C5">
        <f>COUNTIFS('100題UAT案例'!$B$2:$B$101,A5,'100題UAT案例'!$J$2:$J$101,"PASS")</f>
        <v>8</v>
      </c>
      <c r="D5">
        <f>COUNTIFS('100題UAT案例'!$B$2:$B$101,A5,'100題UAT案例'!$J$2:$J$101,"FAIL")</f>
        <v>0</v>
      </c>
      <c r="E5" s="9">
        <f t="shared" si="0"/>
        <v>1</v>
      </c>
      <c r="F5" t="str">
        <f t="shared" si="1"/>
        <v>通過</v>
      </c>
    </row>
    <row r="6" spans="1:6">
      <c r="A6" t="s">
        <v>219</v>
      </c>
      <c r="B6">
        <f>COUNTIF('100題UAT案例'!$B$2:$B$101,A6)</f>
        <v>8</v>
      </c>
      <c r="C6">
        <f>COUNTIFS('100題UAT案例'!$B$2:$B$101,A6,'100題UAT案例'!$J$2:$J$101,"PASS")</f>
        <v>8</v>
      </c>
      <c r="D6">
        <f>COUNTIFS('100題UAT案例'!$B$2:$B$101,A6,'100題UAT案例'!$J$2:$J$101,"FAIL")</f>
        <v>0</v>
      </c>
      <c r="E6" s="9">
        <f t="shared" si="0"/>
        <v>1</v>
      </c>
      <c r="F6" t="str">
        <f t="shared" si="1"/>
        <v>通過</v>
      </c>
    </row>
    <row r="7" spans="1:6">
      <c r="A7" t="s">
        <v>230</v>
      </c>
      <c r="B7">
        <f>COUNTIF('100題UAT案例'!$B$2:$B$101,A7)</f>
        <v>5</v>
      </c>
      <c r="C7">
        <f>COUNTIFS('100題UAT案例'!$B$2:$B$101,A7,'100題UAT案例'!$J$2:$J$101,"PASS")</f>
        <v>5</v>
      </c>
      <c r="D7">
        <f>COUNTIFS('100題UAT案例'!$B$2:$B$101,A7,'100題UAT案例'!$J$2:$J$101,"FAIL")</f>
        <v>0</v>
      </c>
      <c r="E7" s="9">
        <f t="shared" si="0"/>
        <v>1</v>
      </c>
      <c r="F7" t="str">
        <f t="shared" si="1"/>
        <v>通過</v>
      </c>
    </row>
    <row r="8" spans="1:6">
      <c r="A8" t="s">
        <v>262</v>
      </c>
      <c r="B8">
        <f>COUNTIF('100題UAT案例'!$B$2:$B$101,A8)</f>
        <v>15</v>
      </c>
      <c r="C8">
        <f>COUNTIFS('100題UAT案例'!$B$2:$B$101,A8,'100題UAT案例'!$J$2:$J$101,"PASS")</f>
        <v>15</v>
      </c>
      <c r="D8">
        <f>COUNTIFS('100題UAT案例'!$B$2:$B$101,A8,'100題UAT案例'!$J$2:$J$101,"FAIL")</f>
        <v>0</v>
      </c>
      <c r="E8" s="9">
        <f t="shared" si="0"/>
        <v>1</v>
      </c>
      <c r="F8" t="str">
        <f t="shared" si="1"/>
        <v>通過</v>
      </c>
    </row>
    <row r="9" spans="1:6">
      <c r="A9" t="s">
        <v>40</v>
      </c>
      <c r="B9">
        <f>COUNTIF('100題UAT案例'!$B$2:$B$101,A9)</f>
        <v>9</v>
      </c>
      <c r="C9">
        <f>COUNTIFS('100題UAT案例'!$B$2:$B$101,A9,'100題UAT案例'!$J$2:$J$101,"PASS")</f>
        <v>9</v>
      </c>
      <c r="D9">
        <f>COUNTIFS('100題UAT案例'!$B$2:$B$101,A9,'100題UAT案例'!$J$2:$J$101,"FAIL")</f>
        <v>0</v>
      </c>
      <c r="E9" s="9">
        <f t="shared" si="0"/>
        <v>1</v>
      </c>
      <c r="F9" t="str">
        <f t="shared" si="1"/>
        <v>通過</v>
      </c>
    </row>
    <row r="10" spans="1:6">
      <c r="A10" t="s">
        <v>364</v>
      </c>
      <c r="B10">
        <f>COUNTIF('100題UAT案例'!$B$2:$B$101,A10)</f>
        <v>4</v>
      </c>
      <c r="C10">
        <f>COUNTIFS('100題UAT案例'!$B$2:$B$101,A10,'100題UAT案例'!$J$2:$J$101,"PASS")</f>
        <v>4</v>
      </c>
      <c r="D10">
        <f>COUNTIFS('100題UAT案例'!$B$2:$B$101,A10,'100題UAT案例'!$J$2:$J$101,"FAIL")</f>
        <v>0</v>
      </c>
      <c r="E10" s="9">
        <f t="shared" si="0"/>
        <v>1</v>
      </c>
      <c r="F10" t="str">
        <f t="shared" si="1"/>
        <v>通過</v>
      </c>
    </row>
    <row r="11" spans="1:6">
      <c r="A11" t="s">
        <v>378</v>
      </c>
      <c r="B11">
        <f>COUNTIF('100題UAT案例'!$B$2:$B$101,A11)</f>
        <v>4</v>
      </c>
      <c r="C11">
        <f>COUNTIFS('100題UAT案例'!$B$2:$B$101,A11,'100題UAT案例'!$J$2:$J$101,"PASS")</f>
        <v>4</v>
      </c>
      <c r="D11">
        <f>COUNTIFS('100題UAT案例'!$B$2:$B$101,A11,'100題UAT案例'!$J$2:$J$101,"FAIL")</f>
        <v>0</v>
      </c>
      <c r="E11" s="9">
        <f t="shared" si="0"/>
        <v>1</v>
      </c>
      <c r="F11" t="str">
        <f t="shared" si="1"/>
        <v>通過</v>
      </c>
    </row>
    <row r="12" spans="1:6">
      <c r="A12" t="s">
        <v>37</v>
      </c>
      <c r="B12">
        <f>COUNTIF('100題UAT案例'!$B$2:$B$101,A12)</f>
        <v>5</v>
      </c>
      <c r="C12">
        <f>COUNTIFS('100題UAT案例'!$B$2:$B$101,A12,'100題UAT案例'!$J$2:$J$101,"PASS")</f>
        <v>5</v>
      </c>
      <c r="D12">
        <f>COUNTIFS('100題UAT案例'!$B$2:$B$101,A12,'100題UAT案例'!$J$2:$J$101,"FAIL")</f>
        <v>0</v>
      </c>
      <c r="E12" s="9">
        <f t="shared" si="0"/>
        <v>1</v>
      </c>
      <c r="F12" t="str">
        <f t="shared" si="1"/>
        <v>通過</v>
      </c>
    </row>
    <row r="13" spans="1:6">
      <c r="A13" t="s">
        <v>404</v>
      </c>
      <c r="B13">
        <f>COUNTIF('100題UAT案例'!$B$2:$B$101,A13)</f>
        <v>2</v>
      </c>
      <c r="C13">
        <f>COUNTIFS('100題UAT案例'!$B$2:$B$101,A13,'100題UAT案例'!$J$2:$J$101,"PASS")</f>
        <v>2</v>
      </c>
      <c r="D13">
        <f>COUNTIFS('100題UAT案例'!$B$2:$B$101,A13,'100題UAT案例'!$J$2:$J$101,"FAIL")</f>
        <v>0</v>
      </c>
      <c r="E13" s="9">
        <f t="shared" si="0"/>
        <v>1</v>
      </c>
      <c r="F13" t="str">
        <f t="shared" si="1"/>
        <v>通過</v>
      </c>
    </row>
    <row r="14" spans="1:6">
      <c r="A14" t="s">
        <v>412</v>
      </c>
      <c r="B14">
        <f>COUNTIF('100題UAT案例'!$B$2:$B$101,A14)</f>
        <v>2</v>
      </c>
      <c r="C14">
        <f>COUNTIFS('100題UAT案例'!$B$2:$B$101,A14,'100題UAT案例'!$J$2:$J$101,"PASS")</f>
        <v>2</v>
      </c>
      <c r="D14">
        <f>COUNTIFS('100題UAT案例'!$B$2:$B$101,A14,'100題UAT案例'!$J$2:$J$101,"FAIL")</f>
        <v>0</v>
      </c>
      <c r="E14" s="9">
        <f t="shared" si="0"/>
        <v>1</v>
      </c>
      <c r="F14" t="str">
        <f t="shared" si="1"/>
        <v>通過</v>
      </c>
    </row>
    <row r="15" spans="1:6">
      <c r="A15" t="s">
        <v>420</v>
      </c>
      <c r="B15">
        <f>COUNTIF('100題UAT案例'!$B$2:$B$101,A15)</f>
        <v>2</v>
      </c>
      <c r="C15">
        <f>COUNTIFS('100題UAT案例'!$B$2:$B$101,A15,'100題UAT案例'!$J$2:$J$101,"PASS")</f>
        <v>2</v>
      </c>
      <c r="D15">
        <f>COUNTIFS('100題UAT案例'!$B$2:$B$101,A15,'100題UAT案例'!$J$2:$J$101,"FAIL")</f>
        <v>0</v>
      </c>
      <c r="E15" s="9">
        <f t="shared" si="0"/>
        <v>1</v>
      </c>
      <c r="F15" t="str">
        <f t="shared" si="1"/>
        <v>通過</v>
      </c>
    </row>
    <row r="16" spans="1:6">
      <c r="A16" t="s">
        <v>428</v>
      </c>
      <c r="B16">
        <f>COUNTIF('100題UAT案例'!$B$2:$B$101,A16)</f>
        <v>1</v>
      </c>
      <c r="C16">
        <f>COUNTIFS('100題UAT案例'!$B$2:$B$101,A16,'100題UAT案例'!$J$2:$J$101,"PASS")</f>
        <v>1</v>
      </c>
      <c r="D16">
        <f>COUNTIFS('100題UAT案例'!$B$2:$B$101,A16,'100題UAT案例'!$J$2:$J$101,"FAIL")</f>
        <v>0</v>
      </c>
      <c r="E16" s="9">
        <f t="shared" si="0"/>
        <v>1</v>
      </c>
      <c r="F16" t="str">
        <f t="shared" si="1"/>
        <v>通過</v>
      </c>
    </row>
    <row r="17" spans="1:6">
      <c r="A17" t="s">
        <v>435</v>
      </c>
      <c r="B17">
        <f>COUNTIF('100題UAT案例'!$B$2:$B$101,A17)</f>
        <v>1</v>
      </c>
      <c r="C17">
        <f>COUNTIFS('100題UAT案例'!$B$2:$B$101,A17,'100題UAT案例'!$J$2:$J$101,"PASS")</f>
        <v>1</v>
      </c>
      <c r="D17">
        <f>COUNTIFS('100題UAT案例'!$B$2:$B$101,A17,'100題UAT案例'!$J$2:$J$101,"FAIL")</f>
        <v>0</v>
      </c>
      <c r="E17" s="9">
        <f t="shared" si="0"/>
        <v>1</v>
      </c>
      <c r="F17" t="str">
        <f t="shared" si="1"/>
        <v>通過</v>
      </c>
    </row>
  </sheetData>
  <phoneticPr fontId="7" type="noConversion"/>
  <conditionalFormatting sqref="F2:F17">
    <cfRule type="expression" dxfId="1" priority="1">
      <formula>F2="通過"</formula>
    </cfRule>
    <cfRule type="expression" dxfId="0" priority="2">
      <formula>F2="需修正"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sqref="A1:XFD1048576"/>
    </sheetView>
  </sheetViews>
  <sheetFormatPr defaultRowHeight="14.25"/>
  <cols>
    <col min="1" max="1" width="11" bestFit="1" customWidth="1"/>
    <col min="2" max="2" width="81.125" bestFit="1" customWidth="1"/>
  </cols>
  <sheetData>
    <row r="1" spans="1:6" ht="19.5">
      <c r="A1" s="20" t="s">
        <v>442</v>
      </c>
      <c r="B1" s="20"/>
      <c r="C1" s="20"/>
      <c r="D1" s="20"/>
      <c r="E1" s="20"/>
      <c r="F1" s="20"/>
    </row>
    <row r="3" spans="1:6" ht="15">
      <c r="A3" s="12" t="s">
        <v>443</v>
      </c>
      <c r="B3" s="12" t="s">
        <v>28</v>
      </c>
    </row>
    <row r="4" spans="1:6" ht="28.5">
      <c r="A4" s="1" t="s">
        <v>444</v>
      </c>
      <c r="B4" s="1" t="s">
        <v>445</v>
      </c>
    </row>
    <row r="5" spans="1:6">
      <c r="A5" s="1" t="s">
        <v>446</v>
      </c>
      <c r="B5" s="1" t="s">
        <v>447</v>
      </c>
    </row>
    <row r="6" spans="1:6">
      <c r="A6" s="1" t="s">
        <v>448</v>
      </c>
      <c r="B6" s="1" t="s">
        <v>449</v>
      </c>
    </row>
    <row r="7" spans="1:6">
      <c r="A7" s="1" t="s">
        <v>450</v>
      </c>
      <c r="B7" s="1" t="s">
        <v>451</v>
      </c>
    </row>
    <row r="8" spans="1:6">
      <c r="A8" s="1" t="s">
        <v>452</v>
      </c>
      <c r="B8" s="1" t="s">
        <v>453</v>
      </c>
    </row>
    <row r="9" spans="1:6">
      <c r="A9" s="1" t="s">
        <v>40</v>
      </c>
      <c r="B9" s="1" t="s">
        <v>454</v>
      </c>
    </row>
    <row r="10" spans="1:6">
      <c r="A10" s="1" t="s">
        <v>455</v>
      </c>
      <c r="B10" s="1" t="s">
        <v>456</v>
      </c>
    </row>
    <row r="11" spans="1:6">
      <c r="A11" s="1" t="s">
        <v>457</v>
      </c>
      <c r="B11" s="1" t="s">
        <v>458</v>
      </c>
    </row>
    <row r="12" spans="1:6">
      <c r="A12" s="1" t="s">
        <v>37</v>
      </c>
      <c r="B12" s="1" t="s">
        <v>459</v>
      </c>
    </row>
    <row r="13" spans="1:6">
      <c r="A13" s="1" t="s">
        <v>460</v>
      </c>
      <c r="B13" s="1" t="s">
        <v>461</v>
      </c>
    </row>
    <row r="14" spans="1:6">
      <c r="A14" s="1" t="s">
        <v>462</v>
      </c>
      <c r="B14" s="1" t="s">
        <v>463</v>
      </c>
    </row>
    <row r="15" spans="1:6">
      <c r="A15" s="1" t="s">
        <v>464</v>
      </c>
      <c r="B15" s="1" t="s">
        <v>465</v>
      </c>
    </row>
  </sheetData>
  <mergeCells count="1">
    <mergeCell ref="A1:F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topLeftCell="A14" workbookViewId="0">
      <selection activeCell="D11" sqref="D11"/>
    </sheetView>
  </sheetViews>
  <sheetFormatPr defaultRowHeight="14.25"/>
  <cols>
    <col min="1" max="1" width="15.5" bestFit="1" customWidth="1"/>
    <col min="2" max="2" width="19.875" bestFit="1" customWidth="1"/>
    <col min="3" max="3" width="22" bestFit="1" customWidth="1"/>
    <col min="4" max="4" width="38.25" bestFit="1" customWidth="1"/>
    <col min="5" max="5" width="26" bestFit="1" customWidth="1"/>
    <col min="6" max="6" width="43" bestFit="1" customWidth="1"/>
  </cols>
  <sheetData>
    <row r="1" spans="1:8" ht="20.25">
      <c r="A1" s="21" t="s">
        <v>466</v>
      </c>
      <c r="B1" s="21"/>
      <c r="C1" s="21"/>
      <c r="D1" s="21"/>
      <c r="E1" s="21"/>
      <c r="F1" s="21"/>
      <c r="G1" s="21"/>
      <c r="H1" s="21"/>
    </row>
    <row r="3" spans="1:8" ht="29.25">
      <c r="A3" s="13" t="s">
        <v>467</v>
      </c>
      <c r="B3" s="1" t="s">
        <v>9</v>
      </c>
      <c r="C3" s="1"/>
      <c r="D3" s="1"/>
      <c r="E3" s="1"/>
      <c r="F3" s="1"/>
    </row>
    <row r="4" spans="1:8" ht="15">
      <c r="A4" s="13" t="s">
        <v>11</v>
      </c>
      <c r="B4" s="1" t="s">
        <v>12</v>
      </c>
      <c r="C4" s="1"/>
      <c r="D4" s="1"/>
      <c r="E4" s="1"/>
      <c r="F4" s="1"/>
    </row>
    <row r="5" spans="1:8" ht="15">
      <c r="A5" s="13" t="s">
        <v>20</v>
      </c>
      <c r="B5" s="1">
        <v>100</v>
      </c>
      <c r="C5" s="1"/>
      <c r="D5" s="1"/>
      <c r="E5" s="1"/>
      <c r="F5" s="1"/>
    </row>
    <row r="6" spans="1:8" ht="15">
      <c r="A6" s="13" t="s">
        <v>7</v>
      </c>
      <c r="B6" s="1">
        <v>100</v>
      </c>
      <c r="C6" s="1"/>
      <c r="D6" s="1"/>
      <c r="E6" s="1"/>
      <c r="F6" s="1"/>
    </row>
    <row r="7" spans="1:8" ht="15">
      <c r="A7" s="13" t="s">
        <v>10</v>
      </c>
      <c r="B7" s="1">
        <v>0</v>
      </c>
      <c r="C7" s="1"/>
      <c r="D7" s="1"/>
      <c r="E7" s="1"/>
      <c r="F7" s="1"/>
    </row>
    <row r="8" spans="1:8" ht="15">
      <c r="A8" s="13" t="s">
        <v>13</v>
      </c>
      <c r="B8" s="1">
        <v>0</v>
      </c>
      <c r="C8" s="1"/>
      <c r="D8" s="1"/>
      <c r="E8" s="1"/>
      <c r="F8" s="1"/>
    </row>
    <row r="9" spans="1:8" ht="15">
      <c r="A9" s="13" t="s">
        <v>19</v>
      </c>
      <c r="B9" s="1" t="s">
        <v>468</v>
      </c>
      <c r="C9" s="1"/>
      <c r="D9" s="1"/>
      <c r="E9" s="1"/>
      <c r="F9" s="1"/>
    </row>
    <row r="10" spans="1:8" ht="15">
      <c r="A10" s="13" t="s">
        <v>469</v>
      </c>
      <c r="B10" s="1">
        <v>0</v>
      </c>
      <c r="C10" s="1"/>
      <c r="D10" s="1"/>
      <c r="E10" s="1"/>
      <c r="F10" s="1"/>
    </row>
    <row r="11" spans="1:8" ht="15">
      <c r="A11" s="13" t="s">
        <v>470</v>
      </c>
      <c r="B11" s="15" t="s">
        <v>23</v>
      </c>
      <c r="C11" s="1"/>
      <c r="D11" s="1"/>
      <c r="E11" s="1"/>
      <c r="F11" s="1"/>
    </row>
    <row r="12" spans="1:8">
      <c r="A12" s="1"/>
      <c r="B12" s="1"/>
      <c r="C12" s="1"/>
      <c r="D12" s="1"/>
      <c r="E12" s="1"/>
      <c r="F12" s="1"/>
    </row>
    <row r="13" spans="1:8" ht="15">
      <c r="A13" s="16" t="s">
        <v>471</v>
      </c>
      <c r="B13" s="16" t="s">
        <v>472</v>
      </c>
      <c r="C13" s="16" t="s">
        <v>473</v>
      </c>
      <c r="D13" s="16" t="s">
        <v>474</v>
      </c>
      <c r="E13" s="16" t="s">
        <v>475</v>
      </c>
      <c r="F13" s="16" t="s">
        <v>476</v>
      </c>
    </row>
    <row r="14" spans="1:8" ht="28.5">
      <c r="A14" s="1" t="s">
        <v>477</v>
      </c>
      <c r="B14" s="1" t="s">
        <v>10</v>
      </c>
      <c r="C14" s="1" t="s">
        <v>478</v>
      </c>
      <c r="D14" s="1" t="s">
        <v>7</v>
      </c>
      <c r="E14" s="1" t="s">
        <v>479</v>
      </c>
      <c r="F14" s="1" t="s">
        <v>480</v>
      </c>
    </row>
    <row r="15" spans="1:8" ht="28.5">
      <c r="A15" s="1" t="s">
        <v>481</v>
      </c>
      <c r="B15" s="1" t="s">
        <v>10</v>
      </c>
      <c r="C15" s="1" t="s">
        <v>482</v>
      </c>
      <c r="D15" s="1" t="s">
        <v>7</v>
      </c>
      <c r="E15" s="1" t="s">
        <v>483</v>
      </c>
      <c r="F15" s="1" t="s">
        <v>480</v>
      </c>
    </row>
    <row r="16" spans="1:8" ht="28.5">
      <c r="A16" s="1" t="s">
        <v>484</v>
      </c>
      <c r="B16" s="1" t="s">
        <v>469</v>
      </c>
      <c r="C16" s="1" t="s">
        <v>485</v>
      </c>
      <c r="D16" s="1" t="s">
        <v>7</v>
      </c>
      <c r="E16" s="1" t="s">
        <v>486</v>
      </c>
      <c r="F16" s="1" t="s">
        <v>480</v>
      </c>
    </row>
    <row r="17" spans="1:6">
      <c r="A17" s="1" t="s">
        <v>487</v>
      </c>
      <c r="B17" s="1" t="s">
        <v>469</v>
      </c>
      <c r="C17" s="1" t="s">
        <v>488</v>
      </c>
      <c r="D17" s="1" t="s">
        <v>7</v>
      </c>
      <c r="E17" s="1" t="s">
        <v>489</v>
      </c>
      <c r="F17" s="1" t="s">
        <v>480</v>
      </c>
    </row>
    <row r="18" spans="1:6" ht="28.5">
      <c r="A18" s="1" t="s">
        <v>490</v>
      </c>
      <c r="B18" s="1" t="s">
        <v>469</v>
      </c>
      <c r="C18" s="1" t="s">
        <v>491</v>
      </c>
      <c r="D18" s="1" t="s">
        <v>7</v>
      </c>
      <c r="E18" s="1" t="s">
        <v>492</v>
      </c>
      <c r="F18" s="1" t="s">
        <v>480</v>
      </c>
    </row>
    <row r="19" spans="1:6" ht="28.5">
      <c r="A19" s="1" t="s">
        <v>493</v>
      </c>
      <c r="B19" s="1" t="s">
        <v>13</v>
      </c>
      <c r="C19" s="1" t="s">
        <v>494</v>
      </c>
      <c r="D19" s="1" t="s">
        <v>7</v>
      </c>
      <c r="E19" s="1" t="s">
        <v>495</v>
      </c>
      <c r="F19" s="1" t="s">
        <v>480</v>
      </c>
    </row>
    <row r="20" spans="1:6" ht="30">
      <c r="A20" s="14" t="s">
        <v>496</v>
      </c>
      <c r="B20" s="14" t="s">
        <v>13</v>
      </c>
      <c r="C20" s="14" t="s">
        <v>497</v>
      </c>
      <c r="D20" s="14" t="s">
        <v>7</v>
      </c>
      <c r="E20" s="14" t="s">
        <v>495</v>
      </c>
      <c r="F20" s="14" t="s">
        <v>480</v>
      </c>
    </row>
    <row r="21" spans="1:6">
      <c r="A21" s="1"/>
      <c r="B21" s="1"/>
      <c r="C21" s="1"/>
      <c r="D21" s="1"/>
      <c r="E21" s="1"/>
      <c r="F21" s="1"/>
    </row>
    <row r="22" spans="1:6" ht="15">
      <c r="A22" s="17" t="s">
        <v>498</v>
      </c>
      <c r="B22" s="17" t="s">
        <v>499</v>
      </c>
      <c r="C22" s="17" t="s">
        <v>500</v>
      </c>
      <c r="D22" s="17" t="s">
        <v>501</v>
      </c>
      <c r="E22" s="17" t="s">
        <v>502</v>
      </c>
      <c r="F22" s="17" t="s">
        <v>503</v>
      </c>
    </row>
    <row r="23" spans="1:6">
      <c r="A23" s="1"/>
      <c r="B23" s="1"/>
      <c r="C23" s="1"/>
      <c r="D23" s="1"/>
      <c r="E23" s="1"/>
      <c r="F23" s="1"/>
    </row>
    <row r="24" spans="1:6" ht="15">
      <c r="A24" s="18" t="s">
        <v>22</v>
      </c>
      <c r="B24" s="18" t="s">
        <v>4</v>
      </c>
      <c r="C24" s="18" t="s">
        <v>504</v>
      </c>
      <c r="D24" s="18" t="s">
        <v>505</v>
      </c>
      <c r="E24" s="18" t="s">
        <v>470</v>
      </c>
      <c r="F24" s="18" t="s">
        <v>506</v>
      </c>
    </row>
    <row r="25" spans="1:6" ht="85.5">
      <c r="A25" s="1" t="s">
        <v>507</v>
      </c>
      <c r="B25" s="1" t="s">
        <v>508</v>
      </c>
      <c r="C25" s="1" t="s">
        <v>509</v>
      </c>
      <c r="D25" s="1" t="s">
        <v>9</v>
      </c>
      <c r="E25" s="1" t="s">
        <v>23</v>
      </c>
      <c r="F25" s="1" t="s">
        <v>510</v>
      </c>
    </row>
  </sheetData>
  <mergeCells count="1">
    <mergeCell ref="A1:H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驗收總表</vt:lpstr>
      <vt:lpstr>100題UAT案例</vt:lpstr>
      <vt:lpstr>模組統計</vt:lpstr>
      <vt:lpstr>驗收說明</vt:lpstr>
      <vt:lpstr>驗收報告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2026-09-15T07:05:57Z</dcterms:modified>
</cp:coreProperties>
</file>